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janaRajBasavaraj\Documents\GroundwaterTool\"/>
    </mc:Choice>
  </mc:AlternateContent>
  <xr:revisionPtr revIDLastSave="0" documentId="13_ncr:1_{2CDB4F8E-16F2-488E-9E23-33AD231674A9}" xr6:coauthVersionLast="47" xr6:coauthVersionMax="47" xr10:uidLastSave="{00000000-0000-0000-0000-000000000000}"/>
  <bookViews>
    <workbookView xWindow="-28920" yWindow="-1095" windowWidth="29040" windowHeight="17520" activeTab="6" xr2:uid="{E4311A2E-B0E5-4A3E-8D57-85D026C8D216}"/>
  </bookViews>
  <sheets>
    <sheet name="GCW1" sheetId="1" r:id="rId1"/>
    <sheet name="GCW2" sheetId="3" r:id="rId2"/>
    <sheet name="GCW3" sheetId="4" r:id="rId3"/>
    <sheet name="GCW4" sheetId="5" r:id="rId4"/>
    <sheet name="GCW5" sheetId="6" r:id="rId5"/>
    <sheet name="DRW3&amp;4" sheetId="2" r:id="rId6"/>
    <sheet name="Contaminant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05" i="7" l="1"/>
  <c r="Q504" i="7"/>
  <c r="Q503" i="7"/>
  <c r="Q502" i="7"/>
  <c r="Q501" i="7"/>
  <c r="Q500" i="7"/>
  <c r="Q499" i="7"/>
  <c r="Q498" i="7"/>
  <c r="Q497" i="7"/>
  <c r="Q496" i="7"/>
  <c r="Q495" i="7"/>
  <c r="Q494" i="7"/>
  <c r="Q492" i="7"/>
  <c r="Q491" i="7"/>
  <c r="Q490" i="7"/>
  <c r="Q489" i="7"/>
  <c r="Q488" i="7"/>
  <c r="Q487" i="7"/>
  <c r="Q486" i="7"/>
  <c r="Q485" i="7"/>
  <c r="Q484" i="7"/>
  <c r="Q483" i="7"/>
  <c r="Q482" i="7"/>
  <c r="Q481" i="7"/>
  <c r="Q479" i="7"/>
  <c r="Q478" i="7"/>
  <c r="Q477" i="7"/>
  <c r="Q476" i="7"/>
  <c r="Q475" i="7"/>
  <c r="Q474" i="7"/>
  <c r="Q473" i="7"/>
  <c r="Q472" i="7"/>
  <c r="Q471" i="7"/>
  <c r="Q470" i="7"/>
  <c r="Q469" i="7"/>
  <c r="Q468" i="7"/>
  <c r="Q467" i="7"/>
  <c r="Q465" i="7"/>
  <c r="Q464" i="7"/>
  <c r="Q463" i="7"/>
  <c r="Q462" i="7"/>
  <c r="Q461" i="7"/>
  <c r="Q460" i="7"/>
  <c r="Q459" i="7"/>
  <c r="Q458" i="7"/>
  <c r="Q457" i="7"/>
  <c r="Q456" i="7"/>
  <c r="Q455" i="7"/>
  <c r="Q454" i="7"/>
  <c r="Q453" i="7"/>
  <c r="Q452" i="7"/>
  <c r="Q451" i="7"/>
  <c r="Q450" i="7"/>
  <c r="Q449" i="7"/>
  <c r="Q448" i="7"/>
  <c r="Q446" i="7"/>
  <c r="Q445" i="7"/>
  <c r="Q444" i="7"/>
  <c r="Q443" i="7"/>
  <c r="Q442" i="7"/>
  <c r="Q441" i="7"/>
  <c r="Q440" i="7"/>
  <c r="Q438" i="7"/>
  <c r="Q437" i="7"/>
  <c r="Q436" i="7"/>
  <c r="Q435" i="7"/>
  <c r="Q434" i="7"/>
  <c r="Q433" i="7"/>
  <c r="Q432" i="7"/>
  <c r="Q431" i="7"/>
  <c r="Q430" i="7"/>
  <c r="Q429" i="7"/>
  <c r="Q428" i="7"/>
  <c r="Q427" i="7"/>
  <c r="Q426" i="7"/>
  <c r="Q425" i="7"/>
  <c r="Q424" i="7"/>
  <c r="Q423" i="7"/>
  <c r="Q422" i="7"/>
  <c r="Q421" i="7"/>
  <c r="Q420" i="7"/>
  <c r="Q419" i="7"/>
  <c r="Q418" i="7"/>
  <c r="Q417" i="7"/>
  <c r="Q415" i="7"/>
  <c r="Q414" i="7"/>
  <c r="Q413" i="7"/>
  <c r="Q412" i="7"/>
  <c r="Q411" i="7"/>
  <c r="Q410" i="7"/>
  <c r="Q409" i="7"/>
  <c r="Q408" i="7"/>
  <c r="Q407" i="7"/>
  <c r="Q406" i="7"/>
  <c r="Q405" i="7"/>
  <c r="Q403" i="7"/>
  <c r="Q402" i="7"/>
  <c r="Q401" i="7"/>
  <c r="Q400" i="7"/>
  <c r="Q399" i="7"/>
  <c r="Q398" i="7"/>
  <c r="Q397" i="7"/>
  <c r="Q396" i="7"/>
  <c r="Q395" i="7"/>
  <c r="Q394" i="7"/>
  <c r="Q393" i="7"/>
  <c r="Q392" i="7"/>
  <c r="Q390" i="7"/>
  <c r="Q389" i="7"/>
  <c r="Q388" i="7"/>
  <c r="Q387" i="7"/>
  <c r="Q386" i="7"/>
  <c r="Q385" i="7"/>
  <c r="Q384" i="7"/>
  <c r="Q383" i="7"/>
  <c r="Q382" i="7"/>
  <c r="Q381" i="7"/>
  <c r="Q380" i="7"/>
  <c r="Q379" i="7"/>
  <c r="Q378" i="7"/>
  <c r="Q377" i="7"/>
  <c r="Q376" i="7"/>
  <c r="Q375" i="7"/>
  <c r="Q374" i="7"/>
  <c r="Q373" i="7"/>
  <c r="Q372" i="7"/>
  <c r="Q371" i="7"/>
  <c r="Q370" i="7"/>
  <c r="Q369" i="7"/>
  <c r="Q367" i="7"/>
  <c r="Q366" i="7"/>
  <c r="Q364" i="7"/>
  <c r="Q362" i="7"/>
  <c r="Q361" i="7"/>
  <c r="Q360" i="7"/>
  <c r="Q359" i="7"/>
  <c r="Q358" i="7"/>
  <c r="Q357" i="7"/>
  <c r="Q356" i="7"/>
  <c r="Q355" i="7"/>
  <c r="Q354" i="7"/>
  <c r="Q353" i="7"/>
  <c r="Q352" i="7"/>
  <c r="Q351" i="7"/>
  <c r="Q350" i="7"/>
  <c r="Q349" i="7"/>
  <c r="Q348" i="7"/>
  <c r="Q347" i="7"/>
  <c r="Q346" i="7"/>
  <c r="Q345" i="7"/>
  <c r="Q344" i="7"/>
  <c r="Q343" i="7"/>
  <c r="Q342" i="7"/>
  <c r="Q341" i="7"/>
  <c r="Q340" i="7"/>
  <c r="Q339" i="7"/>
  <c r="Q338" i="7"/>
  <c r="Q337" i="7"/>
  <c r="Q336" i="7"/>
  <c r="Q335" i="7"/>
  <c r="Q334" i="7"/>
  <c r="Q333" i="7"/>
  <c r="Q332" i="7"/>
  <c r="Q331" i="7"/>
  <c r="Q330" i="7"/>
  <c r="Q329" i="7"/>
  <c r="Q328" i="7"/>
  <c r="Q327" i="7"/>
  <c r="Q325" i="7"/>
  <c r="Q324" i="7"/>
  <c r="Q323" i="7"/>
  <c r="Q322" i="7"/>
  <c r="Q321" i="7"/>
  <c r="Q320" i="7"/>
  <c r="Q319" i="7"/>
  <c r="Q318" i="7"/>
  <c r="Q317" i="7"/>
  <c r="Q316" i="7"/>
  <c r="Q315" i="7"/>
  <c r="Q314" i="7"/>
  <c r="Q313" i="7"/>
  <c r="Q312" i="7"/>
  <c r="Q311" i="7"/>
  <c r="Q310" i="7"/>
  <c r="Q309" i="7"/>
  <c r="Q308" i="7"/>
  <c r="Q307" i="7"/>
  <c r="Q306" i="7"/>
  <c r="Q305" i="7"/>
  <c r="Q304" i="7"/>
  <c r="Q303" i="7"/>
  <c r="Q302" i="7"/>
  <c r="Q301" i="7"/>
  <c r="Q300" i="7"/>
  <c r="Q299" i="7"/>
  <c r="Q298" i="7"/>
  <c r="Q296" i="7"/>
  <c r="Q295" i="7"/>
  <c r="Q294" i="7"/>
  <c r="Q293" i="7"/>
  <c r="Q292" i="7"/>
  <c r="Q291" i="7"/>
  <c r="Q290" i="7"/>
  <c r="Q289" i="7"/>
  <c r="Q288" i="7"/>
  <c r="Q287" i="7"/>
  <c r="Q286" i="7"/>
  <c r="Q285" i="7"/>
  <c r="Q284" i="7"/>
  <c r="Q283" i="7"/>
  <c r="Q282" i="7"/>
  <c r="Q281" i="7"/>
  <c r="Q280" i="7"/>
  <c r="Q279" i="7"/>
  <c r="Q278" i="7"/>
  <c r="Q277" i="7"/>
  <c r="Q276" i="7"/>
  <c r="Q275" i="7"/>
  <c r="Q274" i="7"/>
  <c r="Q273" i="7"/>
  <c r="Q272" i="7"/>
  <c r="Q271" i="7"/>
  <c r="Q270" i="7"/>
  <c r="Q269" i="7"/>
  <c r="Q268" i="7"/>
  <c r="Q267" i="7"/>
  <c r="Q266" i="7"/>
  <c r="Q265" i="7"/>
  <c r="Q264" i="7"/>
  <c r="Q263" i="7"/>
  <c r="Q262" i="7"/>
  <c r="Q261" i="7"/>
  <c r="Q260" i="7"/>
  <c r="Q259" i="7"/>
  <c r="Q258" i="7"/>
  <c r="Q257" i="7"/>
  <c r="Q256" i="7"/>
  <c r="Q255" i="7"/>
  <c r="Q254" i="7"/>
  <c r="Q253" i="7"/>
  <c r="Q252" i="7"/>
  <c r="Q251" i="7"/>
  <c r="Q250" i="7"/>
  <c r="Q249" i="7"/>
  <c r="Q248" i="7"/>
  <c r="Q247" i="7"/>
  <c r="Q246" i="7"/>
  <c r="Q245" i="7"/>
  <c r="Q244" i="7"/>
  <c r="Q243" i="7"/>
  <c r="Q242" i="7"/>
  <c r="Q241" i="7"/>
  <c r="Q240" i="7"/>
  <c r="Q239" i="7"/>
  <c r="Q238" i="7"/>
  <c r="Q236" i="7"/>
  <c r="Q235" i="7"/>
  <c r="Q234" i="7"/>
  <c r="Q233" i="7"/>
  <c r="Q232" i="7"/>
  <c r="Q231" i="7"/>
  <c r="Q230" i="7"/>
  <c r="Q228" i="7"/>
  <c r="Q227" i="7"/>
  <c r="Q225" i="7"/>
  <c r="Q224" i="7"/>
  <c r="Q223" i="7"/>
  <c r="Q222" i="7"/>
  <c r="Q221" i="7"/>
  <c r="Q220" i="7"/>
  <c r="Q219" i="7"/>
  <c r="Q218" i="7"/>
  <c r="Q217" i="7"/>
  <c r="Q216" i="7"/>
  <c r="Q215" i="7"/>
  <c r="Q214" i="7"/>
  <c r="Q213" i="7"/>
  <c r="Q212" i="7"/>
  <c r="Q211" i="7"/>
  <c r="Q209" i="7"/>
  <c r="Q207" i="7"/>
  <c r="Q206" i="7"/>
  <c r="Q205" i="7"/>
  <c r="Q204" i="7"/>
  <c r="Q203" i="7"/>
  <c r="Q202" i="7"/>
  <c r="Q201" i="7"/>
  <c r="Q200" i="7"/>
  <c r="Q199" i="7"/>
  <c r="Q198" i="7"/>
  <c r="Q197" i="7"/>
  <c r="Q196" i="7"/>
  <c r="Q195" i="7"/>
  <c r="Q194" i="7"/>
  <c r="Q193" i="7"/>
  <c r="Q192" i="7"/>
  <c r="Q191" i="7"/>
  <c r="Q190" i="7"/>
  <c r="Q189" i="7"/>
  <c r="Q188" i="7"/>
  <c r="Q187" i="7"/>
  <c r="Q186" i="7"/>
  <c r="Q185" i="7"/>
  <c r="Q184" i="7"/>
  <c r="Q183" i="7"/>
  <c r="Q182" i="7"/>
  <c r="Q181" i="7"/>
  <c r="Q180" i="7"/>
  <c r="Q179" i="7"/>
  <c r="Q178" i="7"/>
  <c r="Q177" i="7"/>
  <c r="Q176" i="7"/>
  <c r="Q175" i="7"/>
  <c r="Q174" i="7"/>
  <c r="Q173" i="7"/>
  <c r="Q172" i="7"/>
  <c r="Q171" i="7"/>
  <c r="Q170" i="7"/>
  <c r="Q169" i="7"/>
  <c r="Q168" i="7"/>
  <c r="Q167" i="7"/>
  <c r="Q166" i="7"/>
  <c r="Q165" i="7"/>
  <c r="Q164" i="7"/>
  <c r="Q163" i="7"/>
  <c r="Q162" i="7"/>
  <c r="Q161" i="7"/>
  <c r="Q160" i="7"/>
  <c r="Q159" i="7"/>
  <c r="Q158" i="7"/>
  <c r="Q157" i="7"/>
  <c r="Q156" i="7"/>
  <c r="Q155" i="7"/>
  <c r="Q154" i="7"/>
  <c r="Q153" i="7"/>
  <c r="Q152" i="7"/>
  <c r="Q151" i="7"/>
  <c r="Q150" i="7"/>
  <c r="Q149" i="7"/>
  <c r="Q148" i="7"/>
  <c r="Q147" i="7"/>
  <c r="Q146" i="7"/>
  <c r="Q145" i="7"/>
  <c r="Q144" i="7"/>
  <c r="Q143" i="7"/>
  <c r="Q142" i="7"/>
  <c r="Q141" i="7"/>
  <c r="Q140" i="7"/>
  <c r="Q139" i="7"/>
  <c r="Q138" i="7"/>
  <c r="Q137" i="7"/>
  <c r="Q136" i="7"/>
  <c r="Q135" i="7"/>
  <c r="Q134" i="7"/>
  <c r="Q133" i="7"/>
  <c r="Q132" i="7"/>
  <c r="Q131" i="7"/>
  <c r="Q130" i="7"/>
  <c r="Q129" i="7"/>
  <c r="Q128" i="7"/>
  <c r="Q127" i="7"/>
  <c r="Q126" i="7"/>
  <c r="Q125" i="7"/>
  <c r="Q124" i="7"/>
  <c r="Q123" i="7"/>
  <c r="Q122" i="7"/>
  <c r="Q121" i="7"/>
  <c r="Q120" i="7"/>
  <c r="Q119" i="7"/>
  <c r="Q118" i="7"/>
  <c r="Q117" i="7"/>
  <c r="Q116" i="7"/>
  <c r="Q115" i="7"/>
  <c r="Q114" i="7"/>
  <c r="Q113" i="7"/>
  <c r="Q112" i="7"/>
  <c r="Q111" i="7"/>
  <c r="Q110" i="7"/>
  <c r="Q109" i="7"/>
  <c r="Q108" i="7"/>
  <c r="Q107" i="7"/>
  <c r="Q106" i="7"/>
  <c r="Q105" i="7"/>
  <c r="Q104" i="7"/>
  <c r="Q103" i="7"/>
  <c r="Q102" i="7"/>
  <c r="Q101" i="7"/>
  <c r="Q100" i="7"/>
  <c r="Q99" i="7"/>
  <c r="Q98" i="7"/>
  <c r="Q97" i="7"/>
  <c r="Q96" i="7"/>
  <c r="Q95" i="7"/>
  <c r="Q94" i="7"/>
  <c r="Q93" i="7"/>
  <c r="Q92" i="7"/>
  <c r="Q91" i="7"/>
  <c r="Q90" i="7"/>
  <c r="Q89" i="7"/>
  <c r="Q88" i="7"/>
  <c r="Q87" i="7"/>
  <c r="Q86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Melanie Esslinger</author>
  </authors>
  <commentList>
    <comment ref="F115" authorId="0" shapeId="0" xr:uid="{4A4A6ED6-A5FC-4FC3-BEE2-D5822CB4694F}">
      <text>
        <r>
          <rPr>
            <b/>
            <sz val="9"/>
            <color indexed="81"/>
            <rFont val="Tahoma"/>
            <family val="2"/>
          </rPr>
          <t>Melanie Esslinger:</t>
        </r>
        <r>
          <rPr>
            <sz val="9"/>
            <color indexed="81"/>
            <rFont val="Tahoma"/>
            <family val="2"/>
          </rPr>
          <t xml:space="preserve">
Wert im Protokoll 83400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Melanie Esslinger</author>
  </authors>
  <commentList>
    <comment ref="B52" authorId="0" shapeId="0" xr:uid="{3CD1FDF6-E71B-4E81-8238-515386566930}">
      <text>
        <r>
          <rPr>
            <b/>
            <sz val="9"/>
            <color indexed="81"/>
            <rFont val="Segoe UI"/>
            <family val="2"/>
          </rPr>
          <t>Melanie Esslinger:</t>
        </r>
        <r>
          <rPr>
            <sz val="9"/>
            <color indexed="81"/>
            <rFont val="Segoe UI"/>
            <family val="2"/>
          </rPr>
          <t xml:space="preserve">
aus Vor-Ort-Protokoll</t>
        </r>
      </text>
    </comment>
    <comment ref="B79" authorId="0" shapeId="0" xr:uid="{7C28C1D3-F55C-4E70-83D7-B6863DAF21D1}">
      <text>
        <r>
          <rPr>
            <b/>
            <sz val="9"/>
            <color indexed="81"/>
            <rFont val="Segoe UI"/>
            <family val="2"/>
          </rPr>
          <t>Melanie Esslinger:</t>
        </r>
        <r>
          <rPr>
            <sz val="9"/>
            <color indexed="81"/>
            <rFont val="Segoe UI"/>
            <family val="2"/>
          </rPr>
          <t xml:space="preserve">
aus Vor-Ort-Protokoll</t>
        </r>
      </text>
    </comment>
  </commentList>
</comments>
</file>

<file path=xl/sharedStrings.xml><?xml version="1.0" encoding="utf-8"?>
<sst xmlns="http://schemas.openxmlformats.org/spreadsheetml/2006/main" count="6793" uniqueCount="103">
  <si>
    <t>Aquifer</t>
  </si>
  <si>
    <t>Date</t>
  </si>
  <si>
    <t>GCW 1</t>
  </si>
  <si>
    <t>25.05.2021</t>
  </si>
  <si>
    <t>pH</t>
  </si>
  <si>
    <t>Permanganate index </t>
  </si>
  <si>
    <t>p-alkalinity</t>
  </si>
  <si>
    <t>m-alkalinity</t>
  </si>
  <si>
    <t>Hydrogen carbonate</t>
  </si>
  <si>
    <t>Carbonate</t>
  </si>
  <si>
    <t>Hydroxide</t>
  </si>
  <si>
    <t>Fluoride</t>
  </si>
  <si>
    <t>Chloride </t>
  </si>
  <si>
    <t>Bromide</t>
  </si>
  <si>
    <t>Ortho-phosphate</t>
  </si>
  <si>
    <t>Sulfate </t>
  </si>
  <si>
    <t>Ammonium </t>
  </si>
  <si>
    <t>Nitrite</t>
  </si>
  <si>
    <t>Nitrate </t>
  </si>
  <si>
    <t>Total hardness </t>
  </si>
  <si>
    <t>diss. Oxygen</t>
  </si>
  <si>
    <t>Acetat</t>
  </si>
  <si>
    <t>Iron </t>
  </si>
  <si>
    <t>Manganese </t>
  </si>
  <si>
    <t>Sodium </t>
  </si>
  <si>
    <t>Potassium </t>
  </si>
  <si>
    <t>Calcium </t>
  </si>
  <si>
    <t>Magnesium </t>
  </si>
  <si>
    <r>
      <t>m</t>
    </r>
    <r>
      <rPr>
        <sz val="9"/>
        <color theme="1"/>
        <rFont val="Arial"/>
        <family val="2"/>
      </rPr>
      <t>S/cm</t>
    </r>
  </si>
  <si>
    <r>
      <t>mgO</t>
    </r>
    <r>
      <rPr>
        <vertAlign val="subscript"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>/l</t>
    </r>
  </si>
  <si>
    <t>mmol/l</t>
  </si>
  <si>
    <t>mg/l</t>
  </si>
  <si>
    <t>mgCaO/l</t>
  </si>
  <si>
    <t>&lt;0,1</t>
  </si>
  <si>
    <t>&lt;6</t>
  </si>
  <si>
    <t>&lt;2</t>
  </si>
  <si>
    <t>&lt;0,5</t>
  </si>
  <si>
    <t>&lt;0,06</t>
  </si>
  <si>
    <t>&lt;30</t>
  </si>
  <si>
    <t>&lt;0,01</t>
  </si>
  <si>
    <t>&lt;5</t>
  </si>
  <si>
    <t>&lt;100</t>
  </si>
  <si>
    <t>&lt;20</t>
  </si>
  <si>
    <t>&lt;0.1</t>
  </si>
  <si>
    <t>&lt;0.5</t>
  </si>
  <si>
    <t>&lt;0.01</t>
  </si>
  <si>
    <t>&lt;1</t>
  </si>
  <si>
    <t>&lt;0,02</t>
  </si>
  <si>
    <t>&lt;0,3</t>
  </si>
  <si>
    <t>&lt;300</t>
  </si>
  <si>
    <t>&lt;50</t>
  </si>
  <si>
    <t>&lt;0,,01</t>
  </si>
  <si>
    <t>&lt;0.06</t>
  </si>
  <si>
    <t>&lt;10</t>
  </si>
  <si>
    <t>&lt;4</t>
  </si>
  <si>
    <t>&lt;0,4</t>
  </si>
  <si>
    <t>NaN</t>
  </si>
  <si>
    <t>&lt;0,2</t>
  </si>
  <si>
    <t>&lt;25</t>
  </si>
  <si>
    <t>DOC </t>
  </si>
  <si>
    <t>DRW-C</t>
  </si>
  <si>
    <t>GCW 2</t>
  </si>
  <si>
    <t>Screen section</t>
  </si>
  <si>
    <t>Well</t>
  </si>
  <si>
    <t>GCW 3</t>
  </si>
  <si>
    <t>&lt;500</t>
  </si>
  <si>
    <t>&lt;0,05</t>
  </si>
  <si>
    <t>GCW 4</t>
  </si>
  <si>
    <t>GCW 5</t>
  </si>
  <si>
    <t>Conductivity at 25 °C </t>
  </si>
  <si>
    <t>1,1-Dichloroethylene </t>
  </si>
  <si>
    <t>cis-Dichloroethylene </t>
  </si>
  <si>
    <t>trans-Dichloroethylene </t>
  </si>
  <si>
    <t>Dichloromethane </t>
  </si>
  <si>
    <t>1,1-Dichloroethane </t>
  </si>
  <si>
    <t>1,2-Dichloroethane </t>
  </si>
  <si>
    <t>Trichloromethane (Chloroform) </t>
  </si>
  <si>
    <t>Trichloroethylene </t>
  </si>
  <si>
    <t>1,1,2-Trichloroethane </t>
  </si>
  <si>
    <t>Tetrachloroethylene </t>
  </si>
  <si>
    <t>1,1,2,2-Tetrachloroethane </t>
  </si>
  <si>
    <t>Vinyl chloride </t>
  </si>
  <si>
    <t>SUMME</t>
  </si>
  <si>
    <t>Tetrahydrofuran</t>
  </si>
  <si>
    <t>2-Propanol (Isopropanol)</t>
  </si>
  <si>
    <t>Ethen</t>
  </si>
  <si>
    <t>Ethin</t>
  </si>
  <si>
    <t>Chinolin</t>
  </si>
  <si>
    <t>1,1-DCE</t>
  </si>
  <si>
    <t>cis-1,2-DCE</t>
  </si>
  <si>
    <t>trans-1,2-DCE</t>
  </si>
  <si>
    <t>DCM</t>
  </si>
  <si>
    <t>1,1-DCA</t>
  </si>
  <si>
    <t>1,2-DCA</t>
  </si>
  <si>
    <t>CF</t>
  </si>
  <si>
    <t>TCE</t>
  </si>
  <si>
    <t>1,1,2-TCA</t>
  </si>
  <si>
    <t>PCE</t>
  </si>
  <si>
    <t>1,1,2,2-TeCA</t>
  </si>
  <si>
    <t>VC</t>
  </si>
  <si>
    <t>∑</t>
  </si>
  <si>
    <t>&lt;40</t>
  </si>
  <si>
    <t>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</si>
</sst>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.mm\.yy;@"/>
    <numFmt numFmtId="165" formatCode="dd\.mm\.yyyy"/>
    <numFmt numFmtId="166" formatCode="d\.m\.yyyy;@"/>
    <numFmt numFmtId="167" formatCode="#,##0.0"/>
    <numFmt numFmtId="168" formatCode="0.0"/>
  </numFmts>
  <fonts count="12">
    <font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9"/>
      <color theme="1"/>
      <name val="Symbol"/>
      <family val="1"/>
      <charset val="2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b/>
      <sz val="16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5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8">
    <xf numFmtId="0" fontId="0" fillId="0" borderId="0" xfId="0"/>
    <xf numFmtId="0" fontId="0" fillId="0" borderId="1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/>
    </xf>
    <xf numFmtId="165" fontId="0" fillId="0" borderId="3" xfId="0" applyNumberFormat="1" applyBorder="1"/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164" fontId="0" fillId="0" borderId="6" xfId="0" applyNumberFormat="1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/>
    </xf>
    <xf numFmtId="164" fontId="0" fillId="0" borderId="8" xfId="0" applyNumberFormat="1" applyBorder="1"/>
    <xf numFmtId="0" fontId="0" fillId="0" borderId="9" xfId="0" applyBorder="1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/>
    </xf>
    <xf numFmtId="164" fontId="0" fillId="0" borderId="10" xfId="0" applyNumberFormat="1" applyBorder="1"/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/>
    </xf>
    <xf numFmtId="164" fontId="0" fillId="0" borderId="12" xfId="0" applyNumberFormat="1" applyBorder="1"/>
    <xf numFmtId="164" fontId="0" fillId="0" borderId="8" xfId="0" applyNumberFormat="1" applyBorder="1" applyAlignment="1">
      <alignment horizontal="right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4" xfId="0" applyBorder="1" applyAlignment="1">
      <alignment horizontal="center"/>
    </xf>
    <xf numFmtId="164" fontId="0" fillId="0" borderId="14" xfId="0" applyNumberFormat="1" applyBorder="1"/>
    <xf numFmtId="166" fontId="0" fillId="0" borderId="6" xfId="0" applyNumberFormat="1" applyBorder="1"/>
    <xf numFmtId="166" fontId="0" fillId="0" borderId="8" xfId="0" applyNumberFormat="1" applyBorder="1"/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/>
    <xf numFmtId="164" fontId="0" fillId="0" borderId="15" xfId="0" applyNumberFormat="1" applyBorder="1"/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0" xfId="0" applyNumberFormat="1"/>
    <xf numFmtId="0" fontId="0" fillId="2" borderId="3" xfId="0" applyFill="1" applyBorder="1" applyAlignment="1">
      <alignment horizontal="center" textRotation="90" wrapText="1"/>
    </xf>
    <xf numFmtId="1" fontId="0" fillId="2" borderId="3" xfId="0" applyNumberFormat="1" applyFill="1" applyBorder="1" applyAlignment="1">
      <alignment horizontal="center" textRotation="90" wrapText="1"/>
    </xf>
    <xf numFmtId="0" fontId="0" fillId="3" borderId="3" xfId="0" applyFill="1" applyBorder="1" applyAlignment="1">
      <alignment horizontal="center" textRotation="90" wrapText="1"/>
    </xf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4" fontId="4" fillId="0" borderId="6" xfId="0" applyNumberFormat="1" applyFon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3" fontId="1" fillId="4" borderId="6" xfId="0" applyNumberFormat="1" applyFont="1" applyFill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4" fillId="0" borderId="6" xfId="0" applyNumberFormat="1" applyFont="1" applyBorder="1" applyAlignment="1">
      <alignment horizontal="center"/>
    </xf>
    <xf numFmtId="3" fontId="4" fillId="7" borderId="6" xfId="0" applyNumberFormat="1" applyFont="1" applyFill="1" applyBorder="1" applyAlignment="1">
      <alignment horizontal="center"/>
    </xf>
    <xf numFmtId="3" fontId="4" fillId="3" borderId="6" xfId="0" applyNumberFormat="1" applyFont="1" applyFill="1" applyBorder="1" applyAlignment="1">
      <alignment horizontal="center"/>
    </xf>
    <xf numFmtId="1" fontId="1" fillId="6" borderId="6" xfId="0" applyNumberFormat="1" applyFont="1" applyFill="1" applyBorder="1" applyAlignment="1">
      <alignment horizontal="center" vertical="center" wrapText="1"/>
    </xf>
    <xf numFmtId="4" fontId="4" fillId="0" borderId="8" xfId="0" applyNumberFormat="1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3" fontId="1" fillId="4" borderId="8" xfId="0" applyNumberFormat="1" applyFont="1" applyFill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3" fontId="4" fillId="0" borderId="8" xfId="0" applyNumberFormat="1" applyFont="1" applyBorder="1" applyAlignment="1">
      <alignment horizontal="center"/>
    </xf>
    <xf numFmtId="3" fontId="4" fillId="7" borderId="8" xfId="0" applyNumberFormat="1" applyFont="1" applyFill="1" applyBorder="1" applyAlignment="1">
      <alignment horizontal="center"/>
    </xf>
    <xf numFmtId="3" fontId="4" fillId="3" borderId="8" xfId="0" applyNumberFormat="1" applyFont="1" applyFill="1" applyBorder="1" applyAlignment="1">
      <alignment horizontal="center"/>
    </xf>
    <xf numFmtId="1" fontId="1" fillId="6" borderId="8" xfId="0" applyNumberFormat="1" applyFont="1" applyFill="1" applyBorder="1" applyAlignment="1">
      <alignment horizontal="center" vertical="center" wrapText="1"/>
    </xf>
    <xf numFmtId="165" fontId="0" fillId="0" borderId="8" xfId="0" applyNumberFormat="1" applyBorder="1"/>
    <xf numFmtId="1" fontId="0" fillId="0" borderId="8" xfId="0" applyNumberFormat="1" applyBorder="1"/>
    <xf numFmtId="165" fontId="0" fillId="4" borderId="8" xfId="0" applyNumberFormat="1" applyFill="1" applyBorder="1"/>
    <xf numFmtId="3" fontId="4" fillId="5" borderId="8" xfId="0" applyNumberFormat="1" applyFont="1" applyFill="1" applyBorder="1" applyAlignment="1">
      <alignment horizontal="center"/>
    </xf>
    <xf numFmtId="165" fontId="0" fillId="3" borderId="8" xfId="0" applyNumberFormat="1" applyFill="1" applyBorder="1"/>
    <xf numFmtId="1" fontId="4" fillId="6" borderId="8" xfId="0" applyNumberFormat="1" applyFont="1" applyFill="1" applyBorder="1" applyAlignment="1">
      <alignment horizontal="center"/>
    </xf>
    <xf numFmtId="2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3" fontId="1" fillId="4" borderId="10" xfId="0" applyNumberFormat="1" applyFont="1" applyFill="1" applyBorder="1" applyAlignment="1">
      <alignment horizontal="center" vertical="center" wrapText="1"/>
    </xf>
    <xf numFmtId="3" fontId="1" fillId="0" borderId="10" xfId="0" applyNumberFormat="1" applyFont="1" applyBorder="1" applyAlignment="1">
      <alignment horizontal="center" vertical="center" wrapText="1"/>
    </xf>
    <xf numFmtId="3" fontId="1" fillId="5" borderId="10" xfId="0" applyNumberFormat="1" applyFont="1" applyFill="1" applyBorder="1" applyAlignment="1">
      <alignment horizontal="center" vertical="center" wrapText="1"/>
    </xf>
    <xf numFmtId="4" fontId="1" fillId="0" borderId="10" xfId="0" applyNumberFormat="1" applyFont="1" applyBorder="1" applyAlignment="1">
      <alignment horizontal="center" vertical="center" wrapText="1"/>
    </xf>
    <xf numFmtId="3" fontId="1" fillId="3" borderId="10" xfId="0" applyNumberFormat="1" applyFont="1" applyFill="1" applyBorder="1" applyAlignment="1">
      <alignment horizontal="center" vertical="center" wrapText="1"/>
    </xf>
    <xf numFmtId="1" fontId="1" fillId="6" borderId="10" xfId="0" applyNumberFormat="1" applyFont="1" applyFill="1" applyBorder="1" applyAlignment="1">
      <alignment horizontal="center" vertical="center" wrapText="1"/>
    </xf>
    <xf numFmtId="4" fontId="4" fillId="0" borderId="12" xfId="0" applyNumberFormat="1" applyFont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3" fontId="1" fillId="4" borderId="12" xfId="0" applyNumberFormat="1" applyFont="1" applyFill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4" fillId="7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1" fontId="1" fillId="6" borderId="12" xfId="0" applyNumberFormat="1" applyFont="1" applyFill="1" applyBorder="1" applyAlignment="1">
      <alignment horizontal="center" vertical="center" wrapText="1"/>
    </xf>
    <xf numFmtId="3" fontId="4" fillId="4" borderId="12" xfId="0" applyNumberFormat="1" applyFont="1" applyFill="1" applyBorder="1" applyAlignment="1">
      <alignment horizontal="center"/>
    </xf>
    <xf numFmtId="4" fontId="4" fillId="3" borderId="12" xfId="0" applyNumberFormat="1" applyFont="1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4" fontId="4" fillId="3" borderId="8" xfId="0" applyNumberFormat="1" applyFont="1" applyFill="1" applyBorder="1" applyAlignment="1">
      <alignment horizontal="center"/>
    </xf>
    <xf numFmtId="167" fontId="4" fillId="0" borderId="8" xfId="0" applyNumberFormat="1" applyFont="1" applyBorder="1" applyAlignment="1">
      <alignment horizontal="center"/>
    </xf>
    <xf numFmtId="4" fontId="1" fillId="0" borderId="8" xfId="0" applyNumberFormat="1" applyFont="1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4" fontId="1" fillId="4" borderId="8" xfId="0" applyNumberFormat="1" applyFont="1" applyFill="1" applyBorder="1" applyAlignment="1">
      <alignment horizontal="center" vertical="center" wrapText="1"/>
    </xf>
    <xf numFmtId="3" fontId="1" fillId="5" borderId="8" xfId="0" applyNumberFormat="1" applyFont="1" applyFill="1" applyBorder="1" applyAlignment="1">
      <alignment horizontal="center" vertical="center" wrapText="1"/>
    </xf>
    <xf numFmtId="4" fontId="1" fillId="3" borderId="8" xfId="0" applyNumberFormat="1" applyFont="1" applyFill="1" applyBorder="1" applyAlignment="1">
      <alignment horizontal="center" vertical="center" wrapText="1"/>
    </xf>
    <xf numFmtId="3" fontId="1" fillId="4" borderId="8" xfId="0" applyNumberFormat="1" applyFont="1" applyFill="1" applyBorder="1" applyAlignment="1">
      <alignment horizontal="center" vertical="center" wrapText="1"/>
    </xf>
    <xf numFmtId="3" fontId="1" fillId="0" borderId="8" xfId="0" applyNumberFormat="1" applyFont="1" applyBorder="1" applyAlignment="1">
      <alignment horizontal="center" vertical="center" wrapText="1"/>
    </xf>
    <xf numFmtId="3" fontId="1" fillId="3" borderId="8" xfId="0" applyNumberFormat="1" applyFont="1" applyFill="1" applyBorder="1" applyAlignment="1">
      <alignment horizontal="center" vertical="center" wrapText="1"/>
    </xf>
    <xf numFmtId="2" fontId="0" fillId="0" borderId="8" xfId="0" applyNumberFormat="1" applyBorder="1"/>
    <xf numFmtId="1" fontId="5" fillId="0" borderId="8" xfId="0" applyNumberFormat="1" applyFont="1" applyBorder="1"/>
    <xf numFmtId="0" fontId="0" fillId="4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8" xfId="0" applyFill="1" applyBorder="1"/>
    <xf numFmtId="1" fontId="0" fillId="6" borderId="8" xfId="0" applyNumberFormat="1" applyFill="1" applyBorder="1"/>
    <xf numFmtId="2" fontId="1" fillId="0" borderId="14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3" fontId="1" fillId="4" borderId="14" xfId="0" applyNumberFormat="1" applyFont="1" applyFill="1" applyBorder="1" applyAlignment="1">
      <alignment horizontal="center" vertical="center" wrapText="1"/>
    </xf>
    <xf numFmtId="3" fontId="1" fillId="0" borderId="14" xfId="0" applyNumberFormat="1" applyFont="1" applyBorder="1" applyAlignment="1">
      <alignment horizontal="center" vertical="center" wrapText="1"/>
    </xf>
    <xf numFmtId="3" fontId="1" fillId="5" borderId="14" xfId="0" applyNumberFormat="1" applyFont="1" applyFill="1" applyBorder="1" applyAlignment="1">
      <alignment horizontal="center" vertical="center" wrapText="1"/>
    </xf>
    <xf numFmtId="4" fontId="1" fillId="0" borderId="14" xfId="0" applyNumberFormat="1" applyFont="1" applyBorder="1" applyAlignment="1">
      <alignment horizontal="center" vertical="center" wrapText="1"/>
    </xf>
    <xf numFmtId="3" fontId="1" fillId="3" borderId="14" xfId="0" applyNumberFormat="1" applyFont="1" applyFill="1" applyBorder="1" applyAlignment="1">
      <alignment horizontal="center" vertical="center" wrapText="1"/>
    </xf>
    <xf numFmtId="1" fontId="1" fillId="6" borderId="14" xfId="0" applyNumberFormat="1" applyFont="1" applyFill="1" applyBorder="1" applyAlignment="1">
      <alignment horizontal="center" vertical="center" wrapText="1"/>
    </xf>
    <xf numFmtId="1" fontId="4" fillId="6" borderId="6" xfId="0" applyNumberFormat="1" applyFont="1" applyFill="1" applyBorder="1" applyAlignment="1">
      <alignment horizontal="center"/>
    </xf>
    <xf numFmtId="4" fontId="4" fillId="0" borderId="10" xfId="0" applyNumberFormat="1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  <xf numFmtId="3" fontId="1" fillId="4" borderId="10" xfId="0" applyNumberFormat="1" applyFont="1" applyFill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3" fontId="4" fillId="3" borderId="10" xfId="0" applyNumberFormat="1" applyFont="1" applyFill="1" applyBorder="1" applyAlignment="1">
      <alignment horizontal="center"/>
    </xf>
    <xf numFmtId="1" fontId="4" fillId="6" borderId="10" xfId="0" applyNumberFormat="1" applyFont="1" applyFill="1" applyBorder="1" applyAlignment="1">
      <alignment horizontal="center"/>
    </xf>
    <xf numFmtId="1" fontId="4" fillId="6" borderId="12" xfId="0" applyNumberFormat="1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1" fontId="0" fillId="0" borderId="0" xfId="0" applyNumberFormat="1"/>
    <xf numFmtId="0" fontId="0" fillId="3" borderId="0" xfId="0" applyFill="1"/>
    <xf numFmtId="165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textRotation="90" wrapText="1"/>
    </xf>
    <xf numFmtId="0" fontId="0" fillId="4" borderId="3" xfId="0" applyFill="1" applyBorder="1" applyAlignment="1">
      <alignment horizontal="center" textRotation="90" wrapText="1"/>
    </xf>
    <xf numFmtId="0" fontId="0" fillId="5" borderId="3" xfId="0" applyFill="1" applyBorder="1" applyAlignment="1">
      <alignment horizontal="center" textRotation="90" wrapText="1"/>
    </xf>
    <xf numFmtId="0" fontId="0" fillId="6" borderId="3" xfId="0" applyFill="1" applyBorder="1" applyAlignment="1">
      <alignment horizontal="center" textRotation="90" wrapText="1"/>
    </xf>
    <xf numFmtId="0" fontId="0" fillId="4" borderId="16" xfId="0" applyFill="1" applyBorder="1" applyAlignment="1">
      <alignment horizontal="center" textRotation="90" wrapText="1"/>
    </xf>
    <xf numFmtId="1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5" fontId="0" fillId="0" borderId="6" xfId="0" applyNumberFormat="1" applyBorder="1"/>
    <xf numFmtId="3" fontId="4" fillId="5" borderId="6" xfId="0" applyNumberFormat="1" applyFont="1" applyFill="1" applyBorder="1" applyAlignment="1">
      <alignment horizontal="center"/>
    </xf>
    <xf numFmtId="3" fontId="4" fillId="6" borderId="6" xfId="0" applyNumberFormat="1" applyFont="1" applyFill="1" applyBorder="1" applyAlignment="1">
      <alignment horizontal="center"/>
    </xf>
    <xf numFmtId="0" fontId="0" fillId="4" borderId="17" xfId="0" applyFill="1" applyBorder="1"/>
    <xf numFmtId="1" fontId="0" fillId="0" borderId="7" xfId="0" applyNumberFormat="1" applyBorder="1" applyAlignment="1">
      <alignment horizontal="center" vertical="center"/>
    </xf>
    <xf numFmtId="3" fontId="4" fillId="6" borderId="8" xfId="0" applyNumberFormat="1" applyFont="1" applyFill="1" applyBorder="1" applyAlignment="1">
      <alignment horizontal="center"/>
    </xf>
    <xf numFmtId="0" fontId="0" fillId="4" borderId="18" xfId="0" applyFill="1" applyBorder="1"/>
    <xf numFmtId="3" fontId="4" fillId="4" borderId="18" xfId="0" applyNumberFormat="1" applyFont="1" applyFill="1" applyBorder="1" applyAlignment="1">
      <alignment horizontal="center"/>
    </xf>
    <xf numFmtId="168" fontId="1" fillId="0" borderId="8" xfId="0" applyNumberFormat="1" applyFont="1" applyBorder="1" applyAlignment="1">
      <alignment horizontal="center" vertical="center" wrapText="1"/>
    </xf>
    <xf numFmtId="1" fontId="1" fillId="4" borderId="8" xfId="0" applyNumberFormat="1" applyFont="1" applyFill="1" applyBorder="1" applyAlignment="1">
      <alignment horizontal="center" vertical="center" wrapText="1"/>
    </xf>
    <xf numFmtId="1" fontId="1" fillId="4" borderId="18" xfId="0" applyNumberFormat="1" applyFont="1" applyFill="1" applyBorder="1" applyAlignment="1">
      <alignment horizontal="center" vertical="center" wrapText="1"/>
    </xf>
    <xf numFmtId="165" fontId="0" fillId="0" borderId="14" xfId="0" applyNumberFormat="1" applyBorder="1"/>
    <xf numFmtId="168" fontId="1" fillId="0" borderId="14" xfId="0" applyNumberFormat="1" applyFont="1" applyBorder="1" applyAlignment="1">
      <alignment horizontal="center" vertical="center" wrapText="1"/>
    </xf>
    <xf numFmtId="4" fontId="4" fillId="0" borderId="14" xfId="0" applyNumberFormat="1" applyFont="1" applyBorder="1" applyAlignment="1">
      <alignment horizontal="center"/>
    </xf>
    <xf numFmtId="3" fontId="4" fillId="0" borderId="14" xfId="0" applyNumberFormat="1" applyFont="1" applyBorder="1" applyAlignment="1">
      <alignment horizontal="center"/>
    </xf>
    <xf numFmtId="1" fontId="1" fillId="4" borderId="14" xfId="0" applyNumberFormat="1" applyFont="1" applyFill="1" applyBorder="1" applyAlignment="1">
      <alignment horizontal="center" vertical="center" wrapText="1"/>
    </xf>
    <xf numFmtId="3" fontId="4" fillId="5" borderId="14" xfId="0" applyNumberFormat="1" applyFont="1" applyFill="1" applyBorder="1" applyAlignment="1">
      <alignment horizontal="center"/>
    </xf>
    <xf numFmtId="3" fontId="4" fillId="6" borderId="14" xfId="0" applyNumberFormat="1" applyFont="1" applyFill="1" applyBorder="1" applyAlignment="1">
      <alignment horizontal="center"/>
    </xf>
    <xf numFmtId="1" fontId="1" fillId="4" borderId="19" xfId="0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68" fontId="1" fillId="0" borderId="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4" borderId="6" xfId="0" applyNumberFormat="1" applyFont="1" applyFill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1" fontId="1" fillId="4" borderId="17" xfId="0" applyNumberFormat="1" applyFont="1" applyFill="1" applyBorder="1" applyAlignment="1">
      <alignment horizontal="center" vertical="center" wrapText="1"/>
    </xf>
    <xf numFmtId="168" fontId="4" fillId="6" borderId="8" xfId="0" applyNumberFormat="1" applyFont="1" applyFill="1" applyBorder="1" applyAlignment="1">
      <alignment horizontal="center"/>
    </xf>
    <xf numFmtId="165" fontId="0" fillId="0" borderId="10" xfId="0" applyNumberFormat="1" applyBorder="1"/>
    <xf numFmtId="168" fontId="1" fillId="0" borderId="10" xfId="0" applyNumberFormat="1" applyFont="1" applyBorder="1" applyAlignment="1">
      <alignment horizontal="center" vertical="center" wrapText="1"/>
    </xf>
    <xf numFmtId="1" fontId="1" fillId="4" borderId="10" xfId="0" applyNumberFormat="1" applyFont="1" applyFill="1" applyBorder="1" applyAlignment="1">
      <alignment horizontal="center" vertical="center" wrapText="1"/>
    </xf>
    <xf numFmtId="3" fontId="4" fillId="6" borderId="10" xfId="0" applyNumberFormat="1" applyFont="1" applyFill="1" applyBorder="1" applyAlignment="1">
      <alignment horizontal="center"/>
    </xf>
    <xf numFmtId="1" fontId="1" fillId="4" borderId="20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2" xfId="0" applyBorder="1" applyAlignment="1">
      <alignment horizontal="center"/>
    </xf>
    <xf numFmtId="165" fontId="0" fillId="0" borderId="22" xfId="0" applyNumberFormat="1" applyBorder="1"/>
    <xf numFmtId="165" fontId="0" fillId="0" borderId="12" xfId="0" applyNumberFormat="1" applyBorder="1"/>
    <xf numFmtId="165" fontId="0" fillId="0" borderId="8" xfId="0" applyNumberFormat="1" applyBorder="1" applyAlignment="1">
      <alignment horizontal="right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15" xfId="0" applyBorder="1"/>
    <xf numFmtId="0" fontId="0" fillId="0" borderId="15" xfId="0" applyBorder="1" applyAlignment="1">
      <alignment horizontal="center"/>
    </xf>
    <xf numFmtId="165" fontId="0" fillId="0" borderId="15" xfId="0" applyNumberFormat="1" applyBorder="1"/>
    <xf numFmtId="4" fontId="4" fillId="0" borderId="3" xfId="0" applyNumberFormat="1" applyFont="1" applyBorder="1" applyAlignment="1">
      <alignment horizontal="center"/>
    </xf>
    <xf numFmtId="3" fontId="4" fillId="0" borderId="3" xfId="0" applyNumberFormat="1" applyFont="1" applyBorder="1" applyAlignment="1">
      <alignment horizontal="center"/>
    </xf>
    <xf numFmtId="3" fontId="1" fillId="4" borderId="3" xfId="0" applyNumberFormat="1" applyFont="1" applyFill="1" applyBorder="1" applyAlignment="1">
      <alignment horizontal="center"/>
    </xf>
    <xf numFmtId="3" fontId="1" fillId="0" borderId="3" xfId="0" applyNumberFormat="1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3" fontId="1" fillId="5" borderId="3" xfId="0" applyNumberFormat="1" applyFont="1" applyFill="1" applyBorder="1" applyAlignment="1">
      <alignment horizontal="center" vertical="center" wrapText="1"/>
    </xf>
    <xf numFmtId="1" fontId="4" fillId="6" borderId="3" xfId="0" applyNumberFormat="1" applyFont="1" applyFill="1" applyBorder="1" applyAlignment="1">
      <alignment horizontal="center"/>
    </xf>
    <xf numFmtId="4" fontId="4" fillId="0" borderId="22" xfId="0" applyNumberFormat="1" applyFont="1" applyBorder="1" applyAlignment="1">
      <alignment horizontal="center"/>
    </xf>
    <xf numFmtId="3" fontId="4" fillId="0" borderId="22" xfId="0" applyNumberFormat="1" applyFont="1" applyBorder="1" applyAlignment="1">
      <alignment horizontal="center"/>
    </xf>
    <xf numFmtId="3" fontId="1" fillId="4" borderId="22" xfId="0" applyNumberFormat="1" applyFont="1" applyFill="1" applyBorder="1" applyAlignment="1">
      <alignment horizontal="center"/>
    </xf>
    <xf numFmtId="3" fontId="1" fillId="0" borderId="22" xfId="0" applyNumberFormat="1" applyFont="1" applyBorder="1" applyAlignment="1">
      <alignment horizontal="center"/>
    </xf>
    <xf numFmtId="1" fontId="4" fillId="0" borderId="22" xfId="0" applyNumberFormat="1" applyFont="1" applyBorder="1" applyAlignment="1">
      <alignment horizontal="center"/>
    </xf>
    <xf numFmtId="3" fontId="1" fillId="5" borderId="22" xfId="0" applyNumberFormat="1" applyFont="1" applyFill="1" applyBorder="1" applyAlignment="1">
      <alignment horizontal="center" vertical="center" wrapText="1"/>
    </xf>
    <xf numFmtId="1" fontId="4" fillId="6" borderId="22" xfId="0" applyNumberFormat="1" applyFont="1" applyFill="1" applyBorder="1" applyAlignment="1">
      <alignment horizontal="center"/>
    </xf>
    <xf numFmtId="3" fontId="1" fillId="6" borderId="8" xfId="0" applyNumberFormat="1" applyFont="1" applyFill="1" applyBorder="1" applyAlignment="1">
      <alignment horizontal="center" vertical="center" wrapText="1"/>
    </xf>
    <xf numFmtId="3" fontId="1" fillId="4" borderId="14" xfId="0" applyNumberFormat="1" applyFont="1" applyFill="1" applyBorder="1" applyAlignment="1">
      <alignment horizontal="center"/>
    </xf>
    <xf numFmtId="3" fontId="1" fillId="0" borderId="14" xfId="0" applyNumberFormat="1" applyFont="1" applyBorder="1" applyAlignment="1">
      <alignment horizontal="center"/>
    </xf>
    <xf numFmtId="1" fontId="4" fillId="0" borderId="14" xfId="0" applyNumberFormat="1" applyFont="1" applyBorder="1" applyAlignment="1">
      <alignment horizontal="center"/>
    </xf>
    <xf numFmtId="1" fontId="4" fillId="6" borderId="14" xfId="0" applyNumberFormat="1" applyFont="1" applyFill="1" applyBorder="1" applyAlignment="1">
      <alignment horizontal="center"/>
    </xf>
    <xf numFmtId="3" fontId="4" fillId="5" borderId="3" xfId="0" applyNumberFormat="1" applyFont="1" applyFill="1" applyBorder="1" applyAlignment="1">
      <alignment horizontal="center"/>
    </xf>
    <xf numFmtId="4" fontId="1" fillId="0" borderId="3" xfId="0" applyNumberFormat="1" applyFont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/>
    </xf>
    <xf numFmtId="3" fontId="4" fillId="5" borderId="22" xfId="0" applyNumberFormat="1" applyFont="1" applyFill="1" applyBorder="1" applyAlignment="1">
      <alignment horizontal="center"/>
    </xf>
    <xf numFmtId="4" fontId="1" fillId="0" borderId="22" xfId="0" applyNumberFormat="1" applyFont="1" applyBorder="1" applyAlignment="1">
      <alignment horizontal="center" vertical="center" wrapText="1"/>
    </xf>
    <xf numFmtId="3" fontId="4" fillId="6" borderId="22" xfId="0" applyNumberFormat="1" applyFont="1" applyFill="1" applyBorder="1" applyAlignment="1">
      <alignment horizontal="center"/>
    </xf>
    <xf numFmtId="3" fontId="4" fillId="6" borderId="12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4" fontId="4" fillId="0" borderId="15" xfId="0" applyNumberFormat="1" applyFont="1" applyBorder="1" applyAlignment="1">
      <alignment horizontal="center"/>
    </xf>
    <xf numFmtId="3" fontId="4" fillId="0" borderId="15" xfId="0" applyNumberFormat="1" applyFont="1" applyBorder="1" applyAlignment="1">
      <alignment horizontal="center"/>
    </xf>
    <xf numFmtId="3" fontId="1" fillId="4" borderId="15" xfId="0" applyNumberFormat="1" applyFont="1" applyFill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1" fontId="4" fillId="0" borderId="15" xfId="0" applyNumberFormat="1" applyFont="1" applyBorder="1" applyAlignment="1">
      <alignment horizontal="center"/>
    </xf>
    <xf numFmtId="3" fontId="4" fillId="5" borderId="15" xfId="0" applyNumberFormat="1" applyFont="1" applyFill="1" applyBorder="1" applyAlignment="1">
      <alignment horizontal="center"/>
    </xf>
    <xf numFmtId="3" fontId="4" fillId="6" borderId="15" xfId="0" applyNumberFormat="1" applyFont="1" applyFill="1" applyBorder="1" applyAlignment="1">
      <alignment horizontal="center"/>
    </xf>
    <xf numFmtId="0" fontId="0" fillId="0" borderId="23" xfId="0" applyBorder="1" applyAlignment="1">
      <alignment horizontal="center" vertical="center"/>
    </xf>
    <xf numFmtId="4" fontId="1" fillId="0" borderId="6" xfId="0" applyNumberFormat="1" applyFont="1" applyBorder="1" applyAlignment="1">
      <alignment horizontal="center" vertical="center" wrapText="1"/>
    </xf>
    <xf numFmtId="4" fontId="1" fillId="0" borderId="15" xfId="0" applyNumberFormat="1" applyFont="1" applyBorder="1" applyAlignment="1">
      <alignment horizontal="center" vertical="center" wrapText="1"/>
    </xf>
    <xf numFmtId="1" fontId="4" fillId="6" borderId="15" xfId="0" applyNumberFormat="1" applyFont="1" applyFill="1" applyBorder="1" applyAlignment="1">
      <alignment horizontal="center"/>
    </xf>
    <xf numFmtId="3" fontId="4" fillId="4" borderId="6" xfId="0" applyNumberFormat="1" applyFont="1" applyFill="1" applyBorder="1" applyAlignment="1">
      <alignment horizontal="center"/>
    </xf>
    <xf numFmtId="4" fontId="4" fillId="4" borderId="8" xfId="0" applyNumberFormat="1" applyFont="1" applyFill="1" applyBorder="1" applyAlignment="1">
      <alignment horizontal="center"/>
    </xf>
    <xf numFmtId="0" fontId="0" fillId="0" borderId="2" xfId="0" applyBorder="1" applyAlignment="1">
      <alignment vertical="center"/>
    </xf>
    <xf numFmtId="3" fontId="4" fillId="8" borderId="8" xfId="0" applyNumberFormat="1" applyFont="1" applyFill="1" applyBorder="1" applyAlignment="1">
      <alignment horizontal="center"/>
    </xf>
    <xf numFmtId="3" fontId="4" fillId="8" borderId="14" xfId="0" applyNumberFormat="1" applyFont="1" applyFill="1" applyBorder="1" applyAlignment="1">
      <alignment horizontal="center"/>
    </xf>
    <xf numFmtId="3" fontId="4" fillId="8" borderId="6" xfId="0" applyNumberFormat="1" applyFont="1" applyFill="1" applyBorder="1" applyAlignment="1">
      <alignment horizontal="center"/>
    </xf>
    <xf numFmtId="3" fontId="4" fillId="8" borderId="10" xfId="0" applyNumberFormat="1" applyFont="1" applyFill="1" applyBorder="1" applyAlignment="1">
      <alignment horizontal="center"/>
    </xf>
    <xf numFmtId="4" fontId="4" fillId="0" borderId="24" xfId="0" applyNumberFormat="1" applyFont="1" applyBorder="1" applyAlignment="1">
      <alignment horizontal="center"/>
    </xf>
    <xf numFmtId="3" fontId="4" fillId="0" borderId="24" xfId="0" applyNumberFormat="1" applyFont="1" applyBorder="1" applyAlignment="1">
      <alignment horizontal="center"/>
    </xf>
    <xf numFmtId="3" fontId="1" fillId="4" borderId="24" xfId="0" applyNumberFormat="1" applyFont="1" applyFill="1" applyBorder="1" applyAlignment="1">
      <alignment horizontal="center"/>
    </xf>
    <xf numFmtId="3" fontId="1" fillId="0" borderId="24" xfId="0" applyNumberFormat="1" applyFont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3" fontId="4" fillId="8" borderId="24" xfId="0" applyNumberFormat="1" applyFont="1" applyFill="1" applyBorder="1" applyAlignment="1">
      <alignment horizontal="center"/>
    </xf>
    <xf numFmtId="0" fontId="0" fillId="0" borderId="24" xfId="0" applyBorder="1"/>
    <xf numFmtId="0" fontId="0" fillId="6" borderId="24" xfId="0" applyFill="1" applyBorder="1"/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/>
    <xf numFmtId="49" fontId="0" fillId="0" borderId="24" xfId="0" applyNumberFormat="1" applyBorder="1" applyAlignment="1">
      <alignment horizontal="center"/>
    </xf>
    <xf numFmtId="1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6" xfId="0" applyFill="1" applyBorder="1"/>
    <xf numFmtId="0" fontId="0" fillId="6" borderId="6" xfId="0" applyFill="1" applyBorder="1"/>
    <xf numFmtId="0" fontId="0" fillId="6" borderId="8" xfId="0" applyFill="1" applyBorder="1"/>
    <xf numFmtId="0" fontId="0" fillId="4" borderId="8" xfId="0" applyFill="1" applyBorder="1"/>
    <xf numFmtId="0" fontId="0" fillId="4" borderId="19" xfId="0" applyFill="1" applyBorder="1"/>
    <xf numFmtId="0" fontId="0" fillId="0" borderId="26" xfId="0" applyBorder="1" applyAlignment="1">
      <alignment horizontal="center" vertical="center" wrapText="1"/>
    </xf>
    <xf numFmtId="0" fontId="0" fillId="0" borderId="29" xfId="0" applyBorder="1" applyAlignment="1">
      <alignment horizontal="center" textRotation="90" wrapText="1"/>
    </xf>
    <xf numFmtId="0" fontId="10" fillId="0" borderId="4" xfId="0" applyFont="1" applyBorder="1" applyAlignment="1">
      <alignment horizontal="center" textRotation="90" wrapText="1"/>
    </xf>
    <xf numFmtId="0" fontId="0" fillId="0" borderId="21" xfId="0" applyBorder="1" applyAlignment="1">
      <alignment horizontal="center" textRotation="90" wrapText="1"/>
    </xf>
    <xf numFmtId="0" fontId="0" fillId="0" borderId="30" xfId="0" applyBorder="1" applyAlignment="1">
      <alignment horizontal="center" textRotation="90" wrapText="1"/>
    </xf>
    <xf numFmtId="0" fontId="0" fillId="0" borderId="22" xfId="0" applyBorder="1" applyAlignment="1">
      <alignment horizontal="center" textRotation="90" wrapText="1"/>
    </xf>
    <xf numFmtId="0" fontId="0" fillId="0" borderId="31" xfId="0" applyBorder="1" applyAlignment="1">
      <alignment horizontal="center" textRotation="90" wrapText="1"/>
    </xf>
    <xf numFmtId="0" fontId="0" fillId="0" borderId="26" xfId="0" applyBorder="1" applyAlignment="1">
      <alignment horizontal="center" vertical="center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167" fontId="11" fillId="0" borderId="26" xfId="0" applyNumberFormat="1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1" fontId="0" fillId="9" borderId="5" xfId="0" applyNumberFormat="1" applyFill="1" applyBorder="1" applyAlignment="1">
      <alignment horizontal="center" vertical="center"/>
    </xf>
    <xf numFmtId="0" fontId="0" fillId="9" borderId="6" xfId="0" applyFill="1" applyBorder="1"/>
    <xf numFmtId="0" fontId="0" fillId="9" borderId="6" xfId="0" applyFill="1" applyBorder="1" applyAlignment="1">
      <alignment horizontal="center" vertical="center"/>
    </xf>
    <xf numFmtId="0" fontId="10" fillId="9" borderId="6" xfId="0" applyFont="1" applyFill="1" applyBorder="1"/>
    <xf numFmtId="167" fontId="10" fillId="9" borderId="6" xfId="0" applyNumberFormat="1" applyFont="1" applyFill="1" applyBorder="1"/>
    <xf numFmtId="167" fontId="10" fillId="0" borderId="6" xfId="0" applyNumberFormat="1" applyFont="1" applyBorder="1"/>
    <xf numFmtId="167" fontId="10" fillId="0" borderId="17" xfId="0" applyNumberFormat="1" applyFont="1" applyBorder="1"/>
    <xf numFmtId="167" fontId="10" fillId="0" borderId="0" xfId="0" applyNumberFormat="1" applyFont="1"/>
    <xf numFmtId="1" fontId="0" fillId="9" borderId="7" xfId="0" applyNumberFormat="1" applyFill="1" applyBorder="1" applyAlignment="1">
      <alignment horizontal="center" vertical="center"/>
    </xf>
    <xf numFmtId="0" fontId="0" fillId="9" borderId="8" xfId="0" applyFill="1" applyBorder="1"/>
    <xf numFmtId="0" fontId="0" fillId="9" borderId="8" xfId="0" applyFill="1" applyBorder="1" applyAlignment="1">
      <alignment horizontal="center" vertical="center"/>
    </xf>
    <xf numFmtId="167" fontId="10" fillId="9" borderId="8" xfId="0" applyNumberFormat="1" applyFont="1" applyFill="1" applyBorder="1"/>
    <xf numFmtId="167" fontId="0" fillId="0" borderId="8" xfId="0" applyNumberFormat="1" applyBorder="1"/>
    <xf numFmtId="167" fontId="0" fillId="0" borderId="18" xfId="0" applyNumberFormat="1" applyBorder="1"/>
    <xf numFmtId="0" fontId="10" fillId="9" borderId="8" xfId="0" applyFont="1" applyFill="1" applyBorder="1"/>
    <xf numFmtId="167" fontId="10" fillId="0" borderId="8" xfId="0" applyNumberFormat="1" applyFont="1" applyBorder="1"/>
    <xf numFmtId="167" fontId="10" fillId="0" borderId="18" xfId="0" applyNumberFormat="1" applyFont="1" applyBorder="1"/>
    <xf numFmtId="1" fontId="0" fillId="9" borderId="9" xfId="0" applyNumberFormat="1" applyFill="1" applyBorder="1" applyAlignment="1">
      <alignment horizontal="center" vertical="center"/>
    </xf>
    <xf numFmtId="0" fontId="0" fillId="9" borderId="10" xfId="0" applyFill="1" applyBorder="1"/>
    <xf numFmtId="0" fontId="0" fillId="9" borderId="10" xfId="0" applyFill="1" applyBorder="1" applyAlignment="1">
      <alignment horizontal="center" vertical="center"/>
    </xf>
    <xf numFmtId="0" fontId="10" fillId="9" borderId="10" xfId="0" applyFont="1" applyFill="1" applyBorder="1"/>
    <xf numFmtId="0" fontId="0" fillId="0" borderId="20" xfId="0" applyBorder="1"/>
    <xf numFmtId="167" fontId="0" fillId="0" borderId="0" xfId="0" applyNumberFormat="1"/>
    <xf numFmtId="1" fontId="0" fillId="10" borderId="5" xfId="0" applyNumberFormat="1" applyFill="1" applyBorder="1" applyAlignment="1">
      <alignment horizontal="center" vertical="center"/>
    </xf>
    <xf numFmtId="0" fontId="0" fillId="10" borderId="6" xfId="0" applyFill="1" applyBorder="1"/>
    <xf numFmtId="0" fontId="0" fillId="10" borderId="6" xfId="0" applyFill="1" applyBorder="1" applyAlignment="1">
      <alignment horizontal="center" vertical="center"/>
    </xf>
    <xf numFmtId="167" fontId="10" fillId="10" borderId="6" xfId="0" applyNumberFormat="1" applyFont="1" applyFill="1" applyBorder="1"/>
    <xf numFmtId="167" fontId="0" fillId="0" borderId="6" xfId="0" applyNumberFormat="1" applyBorder="1"/>
    <xf numFmtId="167" fontId="0" fillId="0" borderId="17" xfId="0" applyNumberFormat="1" applyBorder="1"/>
    <xf numFmtId="1" fontId="0" fillId="10" borderId="7" xfId="0" applyNumberFormat="1" applyFill="1" applyBorder="1" applyAlignment="1">
      <alignment horizontal="center" vertical="center"/>
    </xf>
    <xf numFmtId="0" fontId="0" fillId="10" borderId="8" xfId="0" applyFill="1" applyBorder="1"/>
    <xf numFmtId="0" fontId="0" fillId="10" borderId="8" xfId="0" applyFill="1" applyBorder="1" applyAlignment="1">
      <alignment horizontal="center" vertical="center"/>
    </xf>
    <xf numFmtId="167" fontId="10" fillId="10" borderId="8" xfId="0" applyNumberFormat="1" applyFont="1" applyFill="1" applyBorder="1"/>
    <xf numFmtId="0" fontId="10" fillId="0" borderId="8" xfId="0" applyFont="1" applyBorder="1"/>
    <xf numFmtId="1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7" fontId="10" fillId="0" borderId="10" xfId="0" applyNumberFormat="1" applyFont="1" applyBorder="1"/>
    <xf numFmtId="167" fontId="0" fillId="0" borderId="10" xfId="0" applyNumberFormat="1" applyBorder="1"/>
    <xf numFmtId="167" fontId="0" fillId="0" borderId="20" xfId="0" applyNumberFormat="1" applyBorder="1"/>
    <xf numFmtId="1" fontId="0" fillId="10" borderId="9" xfId="0" applyNumberFormat="1" applyFill="1" applyBorder="1" applyAlignment="1">
      <alignment horizontal="center" vertical="center"/>
    </xf>
    <xf numFmtId="0" fontId="0" fillId="10" borderId="10" xfId="0" applyFill="1" applyBorder="1"/>
    <xf numFmtId="0" fontId="0" fillId="10" borderId="10" xfId="0" applyFill="1" applyBorder="1" applyAlignment="1">
      <alignment horizontal="center" vertical="center"/>
    </xf>
    <xf numFmtId="167" fontId="10" fillId="10" borderId="10" xfId="0" applyNumberFormat="1" applyFont="1" applyFill="1" applyBorder="1"/>
    <xf numFmtId="1" fontId="0" fillId="11" borderId="7" xfId="0" applyNumberFormat="1" applyFill="1" applyBorder="1" applyAlignment="1">
      <alignment horizontal="center" vertical="center"/>
    </xf>
    <xf numFmtId="0" fontId="0" fillId="11" borderId="8" xfId="0" applyFill="1" applyBorder="1"/>
    <xf numFmtId="0" fontId="0" fillId="11" borderId="8" xfId="0" applyFill="1" applyBorder="1" applyAlignment="1">
      <alignment horizontal="center" vertical="center"/>
    </xf>
    <xf numFmtId="167" fontId="10" fillId="11" borderId="8" xfId="0" applyNumberFormat="1" applyFont="1" applyFill="1" applyBorder="1"/>
    <xf numFmtId="167" fontId="0" fillId="11" borderId="8" xfId="0" applyNumberFormat="1" applyFill="1" applyBorder="1"/>
    <xf numFmtId="167" fontId="0" fillId="11" borderId="18" xfId="0" applyNumberFormat="1" applyFill="1" applyBorder="1"/>
    <xf numFmtId="167" fontId="0" fillId="11" borderId="0" xfId="0" applyNumberFormat="1" applyFill="1"/>
    <xf numFmtId="1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/>
    <xf numFmtId="0" fontId="0" fillId="7" borderId="10" xfId="0" applyFill="1" applyBorder="1" applyAlignment="1">
      <alignment horizontal="center" vertical="center"/>
    </xf>
    <xf numFmtId="167" fontId="10" fillId="7" borderId="10" xfId="0" applyNumberFormat="1" applyFont="1" applyFill="1" applyBorder="1"/>
    <xf numFmtId="167" fontId="0" fillId="7" borderId="10" xfId="0" applyNumberFormat="1" applyFill="1" applyBorder="1"/>
    <xf numFmtId="1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/>
    <xf numFmtId="0" fontId="0" fillId="7" borderId="22" xfId="0" applyFill="1" applyBorder="1" applyAlignment="1">
      <alignment horizontal="center" vertical="center"/>
    </xf>
    <xf numFmtId="167" fontId="10" fillId="7" borderId="22" xfId="0" applyNumberFormat="1" applyFont="1" applyFill="1" applyBorder="1"/>
    <xf numFmtId="167" fontId="10" fillId="7" borderId="8" xfId="0" applyNumberFormat="1" applyFont="1" applyFill="1" applyBorder="1"/>
    <xf numFmtId="167" fontId="0" fillId="7" borderId="22" xfId="0" applyNumberFormat="1" applyFill="1" applyBorder="1"/>
    <xf numFmtId="167" fontId="0" fillId="0" borderId="22" xfId="0" applyNumberFormat="1" applyBorder="1"/>
    <xf numFmtId="167" fontId="0" fillId="0" borderId="31" xfId="0" applyNumberFormat="1" applyBorder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12" borderId="22" xfId="0" applyNumberFormat="1" applyFont="1" applyFill="1" applyBorder="1"/>
    <xf numFmtId="167" fontId="10" fillId="0" borderId="22" xfId="0" applyNumberFormat="1" applyFont="1" applyBorder="1"/>
    <xf numFmtId="167" fontId="10" fillId="0" borderId="20" xfId="0" applyNumberFormat="1" applyFont="1" applyBorder="1"/>
    <xf numFmtId="1" fontId="0" fillId="7" borderId="5" xfId="0" applyNumberFormat="1" applyFill="1" applyBorder="1" applyAlignment="1">
      <alignment horizontal="center" vertical="center"/>
    </xf>
    <xf numFmtId="0" fontId="0" fillId="7" borderId="6" xfId="0" applyFill="1" applyBorder="1"/>
    <xf numFmtId="0" fontId="0" fillId="7" borderId="6" xfId="0" applyFill="1" applyBorder="1" applyAlignment="1">
      <alignment horizontal="center" vertical="center"/>
    </xf>
    <xf numFmtId="167" fontId="10" fillId="7" borderId="6" xfId="0" applyNumberFormat="1" applyFont="1" applyFill="1" applyBorder="1"/>
    <xf numFmtId="1" fontId="0" fillId="7" borderId="7" xfId="0" applyNumberFormat="1" applyFill="1" applyBorder="1" applyAlignment="1">
      <alignment horizontal="center" vertical="center"/>
    </xf>
    <xf numFmtId="0" fontId="0" fillId="7" borderId="8" xfId="0" applyFill="1" applyBorder="1"/>
    <xf numFmtId="0" fontId="0" fillId="7" borderId="8" xfId="0" applyFill="1" applyBorder="1" applyAlignment="1">
      <alignment horizontal="center" vertical="center"/>
    </xf>
    <xf numFmtId="167" fontId="10" fillId="0" borderId="15" xfId="0" applyNumberFormat="1" applyFont="1" applyBorder="1"/>
    <xf numFmtId="1" fontId="0" fillId="0" borderId="23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/>
    <xf numFmtId="1" fontId="0" fillId="7" borderId="25" xfId="0" applyNumberFormat="1" applyFill="1" applyBorder="1" applyAlignment="1">
      <alignment horizontal="center" vertical="center"/>
    </xf>
    <xf numFmtId="0" fontId="0" fillId="7" borderId="24" xfId="0" applyFill="1" applyBorder="1"/>
    <xf numFmtId="0" fontId="0" fillId="7" borderId="24" xfId="0" applyFill="1" applyBorder="1" applyAlignment="1">
      <alignment horizontal="center" vertical="center"/>
    </xf>
    <xf numFmtId="167" fontId="10" fillId="7" borderId="24" xfId="0" applyNumberFormat="1" applyFont="1" applyFill="1" applyBorder="1"/>
    <xf numFmtId="167" fontId="10" fillId="7" borderId="12" xfId="0" applyNumberFormat="1" applyFont="1" applyFill="1" applyBorder="1"/>
    <xf numFmtId="167" fontId="0" fillId="0" borderId="24" xfId="0" applyNumberFormat="1" applyBorder="1"/>
    <xf numFmtId="167" fontId="0" fillId="0" borderId="34" xfId="0" applyNumberFormat="1" applyBorder="1"/>
    <xf numFmtId="167" fontId="0" fillId="7" borderId="31" xfId="0" applyNumberFormat="1" applyFill="1" applyBorder="1"/>
    <xf numFmtId="167" fontId="0" fillId="7" borderId="0" xfId="0" applyNumberFormat="1" applyFill="1"/>
    <xf numFmtId="167" fontId="0" fillId="10" borderId="8" xfId="0" applyNumberFormat="1" applyFill="1" applyBorder="1"/>
    <xf numFmtId="167" fontId="0" fillId="9" borderId="8" xfId="0" applyNumberFormat="1" applyFill="1" applyBorder="1"/>
    <xf numFmtId="167" fontId="0" fillId="10" borderId="6" xfId="0" applyNumberFormat="1" applyFill="1" applyBorder="1"/>
    <xf numFmtId="3" fontId="1" fillId="0" borderId="18" xfId="0" applyNumberFormat="1" applyFont="1" applyBorder="1" applyAlignment="1">
      <alignment horizontal="center" vertical="center" wrapText="1"/>
    </xf>
    <xf numFmtId="1" fontId="0" fillId="0" borderId="18" xfId="0" applyNumberFormat="1" applyBorder="1" applyAlignment="1">
      <alignment horizontal="center" vertical="center"/>
    </xf>
    <xf numFmtId="167" fontId="0" fillId="7" borderId="20" xfId="0" applyNumberFormat="1" applyFill="1" applyBorder="1"/>
    <xf numFmtId="167" fontId="0" fillId="7" borderId="8" xfId="0" applyNumberFormat="1" applyFill="1" applyBorder="1"/>
    <xf numFmtId="167" fontId="0" fillId="7" borderId="18" xfId="0" applyNumberFormat="1" applyFill="1" applyBorder="1"/>
    <xf numFmtId="164" fontId="0" fillId="0" borderId="3" xfId="0" applyNumberFormat="1" applyBorder="1"/>
    <xf numFmtId="164" fontId="0" fillId="9" borderId="6" xfId="0" applyNumberFormat="1" applyFill="1" applyBorder="1"/>
    <xf numFmtId="164" fontId="0" fillId="9" borderId="8" xfId="0" applyNumberFormat="1" applyFill="1" applyBorder="1"/>
    <xf numFmtId="164" fontId="0" fillId="9" borderId="10" xfId="0" applyNumberFormat="1" applyFill="1" applyBorder="1"/>
    <xf numFmtId="164" fontId="0" fillId="10" borderId="6" xfId="0" applyNumberFormat="1" applyFill="1" applyBorder="1"/>
    <xf numFmtId="164" fontId="0" fillId="10" borderId="8" xfId="0" applyNumberFormat="1" applyFill="1" applyBorder="1"/>
    <xf numFmtId="164" fontId="0" fillId="10" borderId="10" xfId="0" applyNumberFormat="1" applyFill="1" applyBorder="1"/>
    <xf numFmtId="164" fontId="0" fillId="11" borderId="8" xfId="0" applyNumberFormat="1" applyFill="1" applyBorder="1"/>
    <xf numFmtId="164" fontId="0" fillId="7" borderId="10" xfId="0" applyNumberFormat="1" applyFill="1" applyBorder="1"/>
    <xf numFmtId="164" fontId="0" fillId="7" borderId="22" xfId="0" applyNumberFormat="1" applyFill="1" applyBorder="1"/>
    <xf numFmtId="164" fontId="0" fillId="7" borderId="6" xfId="0" applyNumberFormat="1" applyFill="1" applyBorder="1"/>
    <xf numFmtId="164" fontId="0" fillId="7" borderId="8" xfId="0" applyNumberFormat="1" applyFill="1" applyBorder="1"/>
    <xf numFmtId="164" fontId="0" fillId="7" borderId="24" xfId="0" applyNumberFormat="1" applyFill="1" applyBorder="1"/>
    <xf numFmtId="164" fontId="0" fillId="10" borderId="8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52FA7-5B69-4E24-A0FB-91F679C1B094}">
  <dimension ref="A1:AC118"/>
  <sheetViews>
    <sheetView topLeftCell="B6" workbookViewId="0">
      <selection activeCell="F2" sqref="F2"/>
    </sheetView>
  </sheetViews>
  <sheetFormatPr defaultRowHeight="14.4"/>
  <cols>
    <col min="3" max="3" width="16.21875" customWidth="1"/>
    <col min="4" max="4" width="19" style="35" customWidth="1"/>
    <col min="6" max="6" width="10.5546875" style="121" customWidth="1"/>
    <col min="8" max="8" width="6.6640625" customWidth="1"/>
    <col min="10" max="10" width="8.88671875" style="121"/>
    <col min="13" max="13" width="3.6640625" customWidth="1"/>
    <col min="16" max="16" width="8.44140625" customWidth="1"/>
    <col min="17" max="17" width="8.88671875" style="122"/>
    <col min="23" max="24" width="8.88671875" style="121"/>
    <col min="29" max="29" width="6.44140625" customWidth="1"/>
  </cols>
  <sheetData>
    <row r="1" spans="1:29" ht="51.6" thickBot="1">
      <c r="A1" s="1" t="s">
        <v>0</v>
      </c>
      <c r="B1" s="218" t="s">
        <v>63</v>
      </c>
      <c r="C1" s="99" t="s">
        <v>62</v>
      </c>
      <c r="D1" s="2" t="s">
        <v>1</v>
      </c>
      <c r="E1" s="36" t="s">
        <v>4</v>
      </c>
      <c r="F1" s="37" t="s">
        <v>69</v>
      </c>
      <c r="G1" s="36" t="s">
        <v>5</v>
      </c>
      <c r="H1" s="36" t="s">
        <v>6</v>
      </c>
      <c r="I1" s="36" t="s">
        <v>7</v>
      </c>
      <c r="J1" s="37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8" t="s">
        <v>15</v>
      </c>
      <c r="R1" s="36" t="s">
        <v>16</v>
      </c>
      <c r="S1" s="36" t="s">
        <v>17</v>
      </c>
      <c r="T1" s="36" t="s">
        <v>18</v>
      </c>
      <c r="U1" s="36" t="s">
        <v>19</v>
      </c>
      <c r="V1" s="36" t="s">
        <v>20</v>
      </c>
      <c r="W1" s="37" t="s">
        <v>21</v>
      </c>
      <c r="X1" s="37" t="s">
        <v>22</v>
      </c>
      <c r="Y1" s="36" t="s">
        <v>23</v>
      </c>
      <c r="Z1" s="36" t="s">
        <v>24</v>
      </c>
      <c r="AA1" s="36" t="s">
        <v>25</v>
      </c>
      <c r="AB1" s="36" t="s">
        <v>26</v>
      </c>
      <c r="AC1" s="36" t="s">
        <v>27</v>
      </c>
    </row>
    <row r="2" spans="1:29" ht="23.4" thickBot="1">
      <c r="A2" s="3"/>
      <c r="B2" s="4"/>
      <c r="C2" s="5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29">
      <c r="A3" s="7">
        <v>1</v>
      </c>
      <c r="B3" s="8" t="s">
        <v>2</v>
      </c>
      <c r="C3" s="9">
        <v>1</v>
      </c>
      <c r="D3" s="10">
        <v>45980</v>
      </c>
      <c r="E3" s="44">
        <v>6.37</v>
      </c>
      <c r="F3" s="45">
        <v>4240</v>
      </c>
      <c r="G3" s="46">
        <v>450</v>
      </c>
      <c r="H3" s="47" t="s">
        <v>33</v>
      </c>
      <c r="I3" s="48">
        <v>13.4</v>
      </c>
      <c r="J3" s="45">
        <v>817</v>
      </c>
      <c r="K3" s="48" t="s">
        <v>34</v>
      </c>
      <c r="L3" s="48" t="s">
        <v>35</v>
      </c>
      <c r="M3" s="48" t="s">
        <v>36</v>
      </c>
      <c r="N3" s="49">
        <v>874</v>
      </c>
      <c r="O3" s="48">
        <v>1.6</v>
      </c>
      <c r="P3" s="48" t="s">
        <v>37</v>
      </c>
      <c r="Q3" s="50" t="s">
        <v>38</v>
      </c>
      <c r="R3" s="48">
        <v>7.8</v>
      </c>
      <c r="S3" s="48" t="s">
        <v>39</v>
      </c>
      <c r="T3" s="48" t="s">
        <v>40</v>
      </c>
      <c r="U3" s="48">
        <v>1050</v>
      </c>
      <c r="V3" s="48"/>
      <c r="W3" s="51">
        <v>503</v>
      </c>
      <c r="X3" s="45">
        <v>62.4</v>
      </c>
      <c r="Y3" s="48">
        <v>9.81</v>
      </c>
      <c r="Z3" s="48">
        <v>115</v>
      </c>
      <c r="AA3" s="48">
        <v>6.8</v>
      </c>
      <c r="AB3" s="48">
        <v>618</v>
      </c>
      <c r="AC3" s="48">
        <v>80.3</v>
      </c>
    </row>
    <row r="4" spans="1:29">
      <c r="A4" s="11">
        <v>1</v>
      </c>
      <c r="B4" s="12" t="s">
        <v>2</v>
      </c>
      <c r="C4" s="13">
        <v>1</v>
      </c>
      <c r="D4" s="14">
        <v>45782</v>
      </c>
      <c r="E4" s="52">
        <v>5.78</v>
      </c>
      <c r="F4" s="53">
        <v>4640</v>
      </c>
      <c r="G4" s="54">
        <v>320</v>
      </c>
      <c r="H4" s="55" t="s">
        <v>33</v>
      </c>
      <c r="I4" s="56">
        <v>16.399999999999999</v>
      </c>
      <c r="J4" s="53">
        <v>1000</v>
      </c>
      <c r="K4" s="56" t="s">
        <v>34</v>
      </c>
      <c r="L4" s="56" t="s">
        <v>35</v>
      </c>
      <c r="M4" s="56" t="s">
        <v>35</v>
      </c>
      <c r="N4" s="57">
        <v>1220</v>
      </c>
      <c r="O4" s="56" t="s">
        <v>35</v>
      </c>
      <c r="P4" s="56" t="s">
        <v>37</v>
      </c>
      <c r="Q4" s="58" t="s">
        <v>41</v>
      </c>
      <c r="R4" s="56">
        <v>0.8</v>
      </c>
      <c r="S4" s="56">
        <v>0.01</v>
      </c>
      <c r="T4" s="56" t="s">
        <v>42</v>
      </c>
      <c r="U4" s="56">
        <v>1410</v>
      </c>
      <c r="V4" s="56"/>
      <c r="W4" s="59">
        <v>76.3</v>
      </c>
      <c r="X4" s="53">
        <v>124</v>
      </c>
      <c r="Y4" s="56">
        <v>16.7</v>
      </c>
      <c r="Z4" s="56">
        <v>126</v>
      </c>
      <c r="AA4" s="56">
        <v>10.1</v>
      </c>
      <c r="AB4" s="56">
        <v>846</v>
      </c>
      <c r="AC4" s="56">
        <v>100</v>
      </c>
    </row>
    <row r="5" spans="1:29">
      <c r="A5" s="11">
        <v>1</v>
      </c>
      <c r="B5" s="12" t="s">
        <v>2</v>
      </c>
      <c r="C5" s="13">
        <v>1</v>
      </c>
      <c r="D5" s="14">
        <v>45706</v>
      </c>
      <c r="E5" s="60"/>
      <c r="F5" s="61"/>
      <c r="G5" s="62"/>
      <c r="H5" s="60"/>
      <c r="I5" s="60"/>
      <c r="J5" s="61"/>
      <c r="K5" s="60"/>
      <c r="L5" s="60"/>
      <c r="M5" s="60"/>
      <c r="N5" s="63">
        <v>1150</v>
      </c>
      <c r="O5" s="60"/>
      <c r="P5" s="60"/>
      <c r="Q5" s="64"/>
      <c r="R5" s="60"/>
      <c r="S5" s="60"/>
      <c r="T5" s="60"/>
      <c r="U5" s="60"/>
      <c r="V5" s="60"/>
      <c r="W5" s="65">
        <v>781</v>
      </c>
      <c r="X5" s="61"/>
      <c r="Y5" s="60"/>
      <c r="Z5" s="60"/>
      <c r="AA5" s="60"/>
      <c r="AB5" s="60"/>
      <c r="AC5" s="60"/>
    </row>
    <row r="6" spans="1:29">
      <c r="A6" s="11">
        <v>1</v>
      </c>
      <c r="B6" s="12" t="s">
        <v>2</v>
      </c>
      <c r="C6" s="13">
        <v>1</v>
      </c>
      <c r="D6" s="14">
        <v>45644</v>
      </c>
      <c r="E6" s="52">
        <v>7.19</v>
      </c>
      <c r="F6" s="53">
        <v>3800</v>
      </c>
      <c r="G6" s="54">
        <v>52</v>
      </c>
      <c r="H6" s="55" t="s">
        <v>33</v>
      </c>
      <c r="I6" s="56">
        <v>10</v>
      </c>
      <c r="J6" s="53">
        <v>610</v>
      </c>
      <c r="K6" s="56" t="s">
        <v>34</v>
      </c>
      <c r="L6" s="56" t="s">
        <v>35</v>
      </c>
      <c r="M6" s="56" t="s">
        <v>35</v>
      </c>
      <c r="N6" s="63">
        <v>1020</v>
      </c>
      <c r="O6" s="56" t="s">
        <v>35</v>
      </c>
      <c r="P6" s="56" t="s">
        <v>37</v>
      </c>
      <c r="Q6" s="58">
        <v>300</v>
      </c>
      <c r="R6" s="56">
        <v>0.27</v>
      </c>
      <c r="S6" s="56" t="s">
        <v>39</v>
      </c>
      <c r="T6" s="56" t="s">
        <v>42</v>
      </c>
      <c r="U6" s="56">
        <v>1160</v>
      </c>
      <c r="V6" s="56"/>
      <c r="W6" s="65" t="s">
        <v>42</v>
      </c>
      <c r="X6" s="53">
        <v>1.39</v>
      </c>
      <c r="Y6" s="56">
        <v>8.7100000000000009</v>
      </c>
      <c r="Z6" s="56">
        <v>106</v>
      </c>
      <c r="AA6" s="56">
        <v>6.5</v>
      </c>
      <c r="AB6" s="56">
        <v>682</v>
      </c>
      <c r="AC6" s="56">
        <v>90.4</v>
      </c>
    </row>
    <row r="7" spans="1:29">
      <c r="A7" s="11">
        <v>1</v>
      </c>
      <c r="B7" s="12" t="s">
        <v>2</v>
      </c>
      <c r="C7" s="13">
        <v>1</v>
      </c>
      <c r="D7" s="14">
        <v>45264</v>
      </c>
      <c r="E7" s="52">
        <v>6.43</v>
      </c>
      <c r="F7" s="53">
        <v>7160</v>
      </c>
      <c r="G7" s="54">
        <v>49</v>
      </c>
      <c r="H7" s="55" t="s">
        <v>33</v>
      </c>
      <c r="I7" s="56">
        <v>20.2</v>
      </c>
      <c r="J7" s="53">
        <v>1230</v>
      </c>
      <c r="K7" s="56" t="s">
        <v>34</v>
      </c>
      <c r="L7" s="56" t="s">
        <v>35</v>
      </c>
      <c r="M7" s="56" t="s">
        <v>35</v>
      </c>
      <c r="N7" s="63">
        <v>1260</v>
      </c>
      <c r="O7" s="56" t="s">
        <v>35</v>
      </c>
      <c r="P7" s="56" t="s">
        <v>37</v>
      </c>
      <c r="Q7" s="58" t="s">
        <v>41</v>
      </c>
      <c r="R7" s="56">
        <v>4</v>
      </c>
      <c r="S7" s="56" t="s">
        <v>39</v>
      </c>
      <c r="T7" s="56" t="s">
        <v>42</v>
      </c>
      <c r="U7" s="56">
        <v>1520</v>
      </c>
      <c r="V7" s="56"/>
      <c r="W7" s="65">
        <v>1020</v>
      </c>
      <c r="X7" s="53">
        <v>104</v>
      </c>
      <c r="Y7" s="56">
        <v>17.100000000000001</v>
      </c>
      <c r="Z7" s="56">
        <v>132</v>
      </c>
      <c r="AA7" s="56">
        <v>7.9</v>
      </c>
      <c r="AB7" s="56">
        <v>905</v>
      </c>
      <c r="AC7" s="56">
        <v>111</v>
      </c>
    </row>
    <row r="8" spans="1:29">
      <c r="A8" s="11">
        <v>1</v>
      </c>
      <c r="B8" s="12" t="s">
        <v>2</v>
      </c>
      <c r="C8" s="13">
        <v>1</v>
      </c>
      <c r="D8" s="14">
        <v>45244</v>
      </c>
      <c r="E8" s="52">
        <v>6.37</v>
      </c>
      <c r="F8" s="53">
        <v>4740</v>
      </c>
      <c r="G8" s="54">
        <v>80</v>
      </c>
      <c r="H8" s="55" t="s">
        <v>33</v>
      </c>
      <c r="I8" s="56">
        <v>20.8</v>
      </c>
      <c r="J8" s="53">
        <v>1270</v>
      </c>
      <c r="K8" s="56" t="s">
        <v>34</v>
      </c>
      <c r="L8" s="56" t="s">
        <v>35</v>
      </c>
      <c r="M8" s="56" t="s">
        <v>35</v>
      </c>
      <c r="N8" s="63">
        <v>1470</v>
      </c>
      <c r="O8" s="56" t="s">
        <v>35</v>
      </c>
      <c r="P8" s="56" t="s">
        <v>37</v>
      </c>
      <c r="Q8" s="58" t="s">
        <v>41</v>
      </c>
      <c r="R8" s="56">
        <v>8.6999999999999993</v>
      </c>
      <c r="S8" s="56" t="s">
        <v>39</v>
      </c>
      <c r="T8" s="56" t="s">
        <v>42</v>
      </c>
      <c r="U8" s="56">
        <v>1570</v>
      </c>
      <c r="V8" s="56"/>
      <c r="W8" s="65">
        <v>858</v>
      </c>
      <c r="X8" s="53">
        <v>123</v>
      </c>
      <c r="Y8" s="56">
        <v>18.5</v>
      </c>
      <c r="Z8" s="56">
        <v>133</v>
      </c>
      <c r="AA8" s="56">
        <v>7.6</v>
      </c>
      <c r="AB8" s="56">
        <v>940</v>
      </c>
      <c r="AC8" s="56">
        <v>111</v>
      </c>
    </row>
    <row r="9" spans="1:29">
      <c r="A9" s="11">
        <v>1</v>
      </c>
      <c r="B9" s="12" t="s">
        <v>2</v>
      </c>
      <c r="C9" s="13">
        <v>1</v>
      </c>
      <c r="D9" s="14">
        <v>44747</v>
      </c>
      <c r="E9" s="52">
        <v>5.96</v>
      </c>
      <c r="F9" s="53">
        <v>5560</v>
      </c>
      <c r="G9" s="54">
        <v>49</v>
      </c>
      <c r="H9" s="55" t="s">
        <v>33</v>
      </c>
      <c r="I9" s="56">
        <v>16.2</v>
      </c>
      <c r="J9" s="53">
        <v>988</v>
      </c>
      <c r="K9" s="56" t="s">
        <v>34</v>
      </c>
      <c r="L9" s="56" t="s">
        <v>35</v>
      </c>
      <c r="M9" s="56" t="s">
        <v>35</v>
      </c>
      <c r="N9" s="63">
        <v>1100</v>
      </c>
      <c r="O9" s="56">
        <v>4</v>
      </c>
      <c r="P9" s="56" t="s">
        <v>37</v>
      </c>
      <c r="Q9" s="58" t="s">
        <v>41</v>
      </c>
      <c r="R9" s="56">
        <v>13</v>
      </c>
      <c r="S9" s="56" t="s">
        <v>39</v>
      </c>
      <c r="T9" s="56" t="s">
        <v>42</v>
      </c>
      <c r="U9" s="56">
        <v>1300</v>
      </c>
      <c r="V9" s="56"/>
      <c r="W9" s="65">
        <v>794</v>
      </c>
      <c r="X9" s="53">
        <v>210</v>
      </c>
      <c r="Y9" s="56">
        <v>12.6</v>
      </c>
      <c r="Z9" s="56">
        <v>130</v>
      </c>
      <c r="AA9" s="56">
        <v>9.9</v>
      </c>
      <c r="AB9" s="56">
        <v>771</v>
      </c>
      <c r="AC9" s="56">
        <v>95.3</v>
      </c>
    </row>
    <row r="10" spans="1:29" ht="23.4" thickBot="1">
      <c r="A10" s="15">
        <v>1</v>
      </c>
      <c r="B10" s="16" t="s">
        <v>2</v>
      </c>
      <c r="C10" s="17">
        <v>1</v>
      </c>
      <c r="D10" s="18">
        <v>44159</v>
      </c>
      <c r="E10" s="66">
        <v>5.98</v>
      </c>
      <c r="F10" s="67">
        <v>4060</v>
      </c>
      <c r="G10" s="68">
        <v>117</v>
      </c>
      <c r="H10" s="69" t="s">
        <v>43</v>
      </c>
      <c r="I10" s="69">
        <v>44.5</v>
      </c>
      <c r="J10" s="67">
        <v>2710</v>
      </c>
      <c r="K10" s="69" t="s">
        <v>34</v>
      </c>
      <c r="L10" s="69" t="s">
        <v>35</v>
      </c>
      <c r="M10" s="69" t="s">
        <v>44</v>
      </c>
      <c r="N10" s="70">
        <v>380</v>
      </c>
      <c r="O10" s="71">
        <v>15.1</v>
      </c>
      <c r="P10" s="71">
        <v>3.1</v>
      </c>
      <c r="Q10" s="72" t="s">
        <v>38</v>
      </c>
      <c r="R10" s="71">
        <v>175</v>
      </c>
      <c r="S10" s="71" t="s">
        <v>45</v>
      </c>
      <c r="T10" s="69" t="s">
        <v>40</v>
      </c>
      <c r="U10" s="69">
        <v>1010</v>
      </c>
      <c r="V10" s="71"/>
      <c r="W10" s="73">
        <v>254</v>
      </c>
      <c r="X10" s="67">
        <v>221</v>
      </c>
      <c r="Y10" s="69">
        <v>7.93</v>
      </c>
      <c r="Z10" s="69">
        <v>89.9</v>
      </c>
      <c r="AA10" s="69">
        <v>12.4</v>
      </c>
      <c r="AB10" s="69">
        <v>563</v>
      </c>
      <c r="AC10" s="69">
        <v>94.2</v>
      </c>
    </row>
    <row r="11" spans="1:29">
      <c r="A11" s="19">
        <v>1</v>
      </c>
      <c r="B11" s="20" t="s">
        <v>2</v>
      </c>
      <c r="C11" s="21">
        <v>2</v>
      </c>
      <c r="D11" s="22">
        <v>45971</v>
      </c>
      <c r="E11" s="74">
        <v>6.3</v>
      </c>
      <c r="F11" s="75">
        <v>3950</v>
      </c>
      <c r="G11" s="76">
        <v>70</v>
      </c>
      <c r="H11" s="77" t="s">
        <v>33</v>
      </c>
      <c r="I11" s="78">
        <v>14.3</v>
      </c>
      <c r="J11" s="75">
        <v>872</v>
      </c>
      <c r="K11" s="78" t="s">
        <v>34</v>
      </c>
      <c r="L11" s="78" t="s">
        <v>35</v>
      </c>
      <c r="M11" s="78" t="s">
        <v>35</v>
      </c>
      <c r="N11" s="79">
        <v>1010</v>
      </c>
      <c r="O11" s="78">
        <v>3</v>
      </c>
      <c r="P11" s="78" t="s">
        <v>46</v>
      </c>
      <c r="Q11" s="80" t="s">
        <v>41</v>
      </c>
      <c r="R11" s="78">
        <v>0.4</v>
      </c>
      <c r="S11" s="78" t="s">
        <v>39</v>
      </c>
      <c r="T11" s="78" t="s">
        <v>42</v>
      </c>
      <c r="U11" s="78">
        <v>1130</v>
      </c>
      <c r="V11" s="78"/>
      <c r="W11" s="81">
        <v>578</v>
      </c>
      <c r="X11" s="75">
        <v>81.599999999999994</v>
      </c>
      <c r="Y11" s="78">
        <v>11.2</v>
      </c>
      <c r="Z11" s="78">
        <v>117</v>
      </c>
      <c r="AA11" s="78">
        <v>6</v>
      </c>
      <c r="AB11" s="78">
        <v>668</v>
      </c>
      <c r="AC11" s="78">
        <v>83</v>
      </c>
    </row>
    <row r="12" spans="1:29">
      <c r="A12" s="19">
        <v>1</v>
      </c>
      <c r="B12" s="20" t="s">
        <v>2</v>
      </c>
      <c r="C12" s="21">
        <v>2</v>
      </c>
      <c r="D12" s="22">
        <v>45895</v>
      </c>
      <c r="E12" s="74"/>
      <c r="F12" s="75"/>
      <c r="G12" s="76"/>
      <c r="H12" s="77"/>
      <c r="I12" s="78"/>
      <c r="J12" s="75"/>
      <c r="K12" s="78"/>
      <c r="L12" s="78"/>
      <c r="M12" s="78"/>
      <c r="N12" s="79">
        <v>1160</v>
      </c>
      <c r="O12" s="78"/>
      <c r="P12" s="78"/>
      <c r="Q12" s="80"/>
      <c r="R12" s="78"/>
      <c r="S12" s="78"/>
      <c r="T12" s="78"/>
      <c r="U12" s="78"/>
      <c r="V12" s="78"/>
      <c r="W12" s="81">
        <v>250</v>
      </c>
      <c r="X12" s="75"/>
      <c r="Y12" s="78"/>
      <c r="Z12" s="78"/>
      <c r="AA12" s="78"/>
      <c r="AB12" s="78"/>
      <c r="AC12" s="78"/>
    </row>
    <row r="13" spans="1:29" ht="15" thickBot="1">
      <c r="A13" s="19">
        <v>1</v>
      </c>
      <c r="B13" s="20" t="s">
        <v>2</v>
      </c>
      <c r="C13" s="21">
        <v>2</v>
      </c>
      <c r="D13" s="22">
        <v>45792</v>
      </c>
      <c r="E13" s="74">
        <v>7.41</v>
      </c>
      <c r="F13" s="75">
        <v>910</v>
      </c>
      <c r="G13" s="76">
        <v>155</v>
      </c>
      <c r="H13" s="77" t="s">
        <v>33</v>
      </c>
      <c r="I13" s="78">
        <v>5.8</v>
      </c>
      <c r="J13" s="75">
        <v>354</v>
      </c>
      <c r="K13" s="78" t="s">
        <v>34</v>
      </c>
      <c r="L13" s="78" t="s">
        <v>35</v>
      </c>
      <c r="M13" s="78" t="s">
        <v>36</v>
      </c>
      <c r="N13" s="79">
        <v>1150</v>
      </c>
      <c r="O13" s="78">
        <v>5.2</v>
      </c>
      <c r="P13" s="78" t="s">
        <v>37</v>
      </c>
      <c r="Q13" s="80">
        <v>50</v>
      </c>
      <c r="R13" s="78" t="s">
        <v>35</v>
      </c>
      <c r="S13" s="78">
        <v>0.02</v>
      </c>
      <c r="T13" s="78" t="s">
        <v>40</v>
      </c>
      <c r="U13" s="78">
        <v>1290</v>
      </c>
      <c r="V13" s="78"/>
      <c r="W13" s="81">
        <v>771</v>
      </c>
      <c r="X13" s="75">
        <v>103</v>
      </c>
      <c r="Y13" s="78">
        <v>14.4</v>
      </c>
      <c r="Z13" s="78">
        <v>118</v>
      </c>
      <c r="AA13" s="78">
        <v>8.1</v>
      </c>
      <c r="AB13" s="78">
        <v>767</v>
      </c>
      <c r="AC13" s="78">
        <v>93.6</v>
      </c>
    </row>
    <row r="14" spans="1:29">
      <c r="A14" s="19">
        <v>1</v>
      </c>
      <c r="B14" s="20" t="s">
        <v>2</v>
      </c>
      <c r="C14" s="21">
        <v>2</v>
      </c>
      <c r="D14" s="22">
        <v>45384</v>
      </c>
      <c r="E14" s="74">
        <v>6.42</v>
      </c>
      <c r="F14" s="75">
        <v>3380</v>
      </c>
      <c r="G14" s="82">
        <v>14.8</v>
      </c>
      <c r="H14" s="74" t="s">
        <v>33</v>
      </c>
      <c r="I14" s="74">
        <v>14</v>
      </c>
      <c r="J14" s="75">
        <v>854</v>
      </c>
      <c r="K14" s="74" t="s">
        <v>34</v>
      </c>
      <c r="L14" s="74" t="s">
        <v>35</v>
      </c>
      <c r="M14" s="74" t="s">
        <v>35</v>
      </c>
      <c r="N14" s="79">
        <v>750</v>
      </c>
      <c r="O14" s="74" t="s">
        <v>35</v>
      </c>
      <c r="P14" s="74" t="s">
        <v>37</v>
      </c>
      <c r="Q14" s="83">
        <v>300</v>
      </c>
      <c r="R14" s="74">
        <v>3.5</v>
      </c>
      <c r="S14" s="74">
        <v>0.02</v>
      </c>
      <c r="T14" s="74" t="s">
        <v>42</v>
      </c>
      <c r="U14" s="74">
        <v>1500</v>
      </c>
      <c r="V14" s="74"/>
      <c r="W14" s="51">
        <v>825</v>
      </c>
      <c r="X14" s="75">
        <v>101</v>
      </c>
      <c r="Y14" s="74">
        <v>17.7</v>
      </c>
      <c r="Z14" s="74">
        <v>124</v>
      </c>
      <c r="AA14" s="74">
        <v>5.5</v>
      </c>
      <c r="AB14" s="74">
        <v>900</v>
      </c>
      <c r="AC14" s="78">
        <v>106</v>
      </c>
    </row>
    <row r="15" spans="1:29">
      <c r="A15" s="11">
        <v>1</v>
      </c>
      <c r="B15" s="12" t="s">
        <v>2</v>
      </c>
      <c r="C15" s="13">
        <v>2</v>
      </c>
      <c r="D15" s="14">
        <v>45357</v>
      </c>
      <c r="E15" s="52">
        <v>6.09</v>
      </c>
      <c r="F15" s="53">
        <v>3610</v>
      </c>
      <c r="G15" s="54">
        <v>270</v>
      </c>
      <c r="H15" s="55" t="s">
        <v>33</v>
      </c>
      <c r="I15" s="56">
        <v>12.7</v>
      </c>
      <c r="J15" s="53">
        <v>775</v>
      </c>
      <c r="K15" s="56" t="s">
        <v>34</v>
      </c>
      <c r="L15" s="56" t="s">
        <v>35</v>
      </c>
      <c r="M15" s="56" t="s">
        <v>36</v>
      </c>
      <c r="N15" s="63">
        <v>726</v>
      </c>
      <c r="O15" s="56">
        <v>1.6</v>
      </c>
      <c r="P15" s="56">
        <v>0.8</v>
      </c>
      <c r="Q15" s="58">
        <v>250</v>
      </c>
      <c r="R15" s="56" t="s">
        <v>47</v>
      </c>
      <c r="S15" s="56">
        <v>0.1</v>
      </c>
      <c r="T15" s="56" t="s">
        <v>40</v>
      </c>
      <c r="U15" s="56">
        <v>1090</v>
      </c>
      <c r="V15" s="56"/>
      <c r="W15" s="65">
        <v>695</v>
      </c>
      <c r="X15" s="53">
        <v>13.2</v>
      </c>
      <c r="Y15" s="56">
        <v>8.36</v>
      </c>
      <c r="Z15" s="56">
        <v>98.3</v>
      </c>
      <c r="AA15" s="56">
        <v>6.5</v>
      </c>
      <c r="AB15" s="56">
        <v>617</v>
      </c>
      <c r="AC15" s="56">
        <v>100</v>
      </c>
    </row>
    <row r="16" spans="1:29">
      <c r="A16" s="11">
        <v>1</v>
      </c>
      <c r="B16" s="12" t="s">
        <v>2</v>
      </c>
      <c r="C16" s="13">
        <v>2</v>
      </c>
      <c r="D16" s="14">
        <v>45328</v>
      </c>
      <c r="E16" s="52">
        <v>6.41</v>
      </c>
      <c r="F16" s="53">
        <v>5090</v>
      </c>
      <c r="G16" s="54">
        <v>33</v>
      </c>
      <c r="H16" s="55" t="s">
        <v>33</v>
      </c>
      <c r="I16" s="56">
        <v>14.8</v>
      </c>
      <c r="J16" s="53">
        <v>903</v>
      </c>
      <c r="K16" s="56" t="s">
        <v>34</v>
      </c>
      <c r="L16" s="56" t="s">
        <v>35</v>
      </c>
      <c r="M16" s="56" t="s">
        <v>35</v>
      </c>
      <c r="N16" s="63">
        <v>990</v>
      </c>
      <c r="O16" s="56" t="s">
        <v>35</v>
      </c>
      <c r="P16" s="56" t="s">
        <v>37</v>
      </c>
      <c r="Q16" s="58">
        <v>200</v>
      </c>
      <c r="R16" s="56">
        <v>2.8</v>
      </c>
      <c r="S16" s="56">
        <v>0.01</v>
      </c>
      <c r="T16" s="56" t="s">
        <v>42</v>
      </c>
      <c r="U16" s="56">
        <v>1210</v>
      </c>
      <c r="V16" s="56"/>
      <c r="W16" s="65">
        <v>764</v>
      </c>
      <c r="X16" s="53">
        <v>39.200000000000003</v>
      </c>
      <c r="Y16" s="56">
        <v>9.84</v>
      </c>
      <c r="Z16" s="56">
        <v>105</v>
      </c>
      <c r="AA16" s="56">
        <v>5.4</v>
      </c>
      <c r="AB16" s="56">
        <v>693</v>
      </c>
      <c r="AC16" s="56">
        <v>104</v>
      </c>
    </row>
    <row r="17" spans="1:29">
      <c r="A17" s="11">
        <v>1</v>
      </c>
      <c r="B17" s="12" t="s">
        <v>2</v>
      </c>
      <c r="C17" s="13">
        <v>2</v>
      </c>
      <c r="D17" s="14">
        <v>45300</v>
      </c>
      <c r="E17" s="52">
        <v>6.13</v>
      </c>
      <c r="F17" s="53">
        <v>6350</v>
      </c>
      <c r="G17" s="84">
        <v>54</v>
      </c>
      <c r="H17" s="52" t="s">
        <v>33</v>
      </c>
      <c r="I17" s="52">
        <v>16.600000000000001</v>
      </c>
      <c r="J17" s="53">
        <v>1010</v>
      </c>
      <c r="K17" s="52" t="s">
        <v>34</v>
      </c>
      <c r="L17" s="52" t="s">
        <v>35</v>
      </c>
      <c r="M17" s="52" t="s">
        <v>35</v>
      </c>
      <c r="N17" s="63">
        <v>1170</v>
      </c>
      <c r="O17" s="52">
        <v>3</v>
      </c>
      <c r="P17" s="52" t="s">
        <v>37</v>
      </c>
      <c r="Q17" s="85" t="s">
        <v>41</v>
      </c>
      <c r="R17" s="86">
        <v>3.4</v>
      </c>
      <c r="S17" s="52" t="s">
        <v>39</v>
      </c>
      <c r="T17" s="52" t="s">
        <v>42</v>
      </c>
      <c r="U17" s="56">
        <v>1360</v>
      </c>
      <c r="V17" s="56"/>
      <c r="W17" s="65">
        <v>1850</v>
      </c>
      <c r="X17" s="53">
        <v>35.6</v>
      </c>
      <c r="Y17" s="56">
        <v>12.3</v>
      </c>
      <c r="Z17" s="56">
        <v>116</v>
      </c>
      <c r="AA17" s="56">
        <v>6.8</v>
      </c>
      <c r="AB17" s="56">
        <v>796</v>
      </c>
      <c r="AC17" s="56">
        <v>105</v>
      </c>
    </row>
    <row r="18" spans="1:29">
      <c r="A18" s="11">
        <v>1</v>
      </c>
      <c r="B18" s="12" t="s">
        <v>2</v>
      </c>
      <c r="C18" s="13">
        <v>2</v>
      </c>
      <c r="D18" s="14">
        <v>45209</v>
      </c>
      <c r="E18" s="52">
        <v>6.18</v>
      </c>
      <c r="F18" s="53">
        <v>4620</v>
      </c>
      <c r="G18" s="84">
        <v>35</v>
      </c>
      <c r="H18" s="52" t="s">
        <v>33</v>
      </c>
      <c r="I18" s="86">
        <v>17.899999999999999</v>
      </c>
      <c r="J18" s="53">
        <v>1090</v>
      </c>
      <c r="K18" s="52" t="s">
        <v>34</v>
      </c>
      <c r="L18" s="52" t="s">
        <v>35</v>
      </c>
      <c r="M18" s="52" t="s">
        <v>35</v>
      </c>
      <c r="N18" s="63">
        <v>1050</v>
      </c>
      <c r="O18" s="52" t="s">
        <v>35</v>
      </c>
      <c r="P18" s="52" t="s">
        <v>37</v>
      </c>
      <c r="Q18" s="85" t="s">
        <v>41</v>
      </c>
      <c r="R18" s="86">
        <v>5</v>
      </c>
      <c r="S18" s="52" t="s">
        <v>39</v>
      </c>
      <c r="T18" s="52" t="s">
        <v>42</v>
      </c>
      <c r="U18" s="56">
        <v>1300</v>
      </c>
      <c r="V18" s="52"/>
      <c r="W18" s="65">
        <v>1210</v>
      </c>
      <c r="X18" s="53">
        <v>56.6</v>
      </c>
      <c r="Y18" s="52">
        <v>11.4</v>
      </c>
      <c r="Z18" s="52">
        <v>121</v>
      </c>
      <c r="AA18" s="52">
        <v>6.3</v>
      </c>
      <c r="AB18" s="56">
        <v>748</v>
      </c>
      <c r="AC18" s="56">
        <v>110</v>
      </c>
    </row>
    <row r="19" spans="1:29">
      <c r="A19" s="11">
        <v>1</v>
      </c>
      <c r="B19" s="12" t="s">
        <v>2</v>
      </c>
      <c r="C19" s="13">
        <v>2</v>
      </c>
      <c r="D19" s="14">
        <v>45181</v>
      </c>
      <c r="E19" s="52">
        <v>6.23</v>
      </c>
      <c r="F19" s="53">
        <v>4100</v>
      </c>
      <c r="G19" s="54">
        <v>50</v>
      </c>
      <c r="H19" s="55" t="s">
        <v>33</v>
      </c>
      <c r="I19" s="86">
        <v>17.5</v>
      </c>
      <c r="J19" s="53">
        <v>1070</v>
      </c>
      <c r="K19" s="56" t="s">
        <v>34</v>
      </c>
      <c r="L19" s="56" t="s">
        <v>35</v>
      </c>
      <c r="M19" s="56" t="s">
        <v>35</v>
      </c>
      <c r="N19" s="63">
        <v>880</v>
      </c>
      <c r="O19" s="56" t="s">
        <v>35</v>
      </c>
      <c r="P19" s="56" t="s">
        <v>37</v>
      </c>
      <c r="Q19" s="58" t="s">
        <v>41</v>
      </c>
      <c r="R19" s="56">
        <v>3.7</v>
      </c>
      <c r="S19" s="56" t="s">
        <v>39</v>
      </c>
      <c r="T19" s="56" t="s">
        <v>42</v>
      </c>
      <c r="U19" s="56">
        <v>1320</v>
      </c>
      <c r="V19" s="56"/>
      <c r="W19" s="65">
        <v>1000</v>
      </c>
      <c r="X19" s="53">
        <v>72</v>
      </c>
      <c r="Y19" s="56">
        <v>12</v>
      </c>
      <c r="Z19" s="56">
        <v>123</v>
      </c>
      <c r="AA19" s="56">
        <v>10.1</v>
      </c>
      <c r="AB19" s="56">
        <v>763</v>
      </c>
      <c r="AC19" s="56">
        <v>109</v>
      </c>
    </row>
    <row r="20" spans="1:29">
      <c r="A20" s="11">
        <v>1</v>
      </c>
      <c r="B20" s="12" t="s">
        <v>2</v>
      </c>
      <c r="C20" s="13">
        <v>2</v>
      </c>
      <c r="D20" s="14">
        <v>45160</v>
      </c>
      <c r="E20" s="52">
        <v>6.23</v>
      </c>
      <c r="F20" s="53">
        <v>4200</v>
      </c>
      <c r="G20" s="54">
        <v>27</v>
      </c>
      <c r="H20" s="56" t="s">
        <v>33</v>
      </c>
      <c r="I20" s="56">
        <v>18.5</v>
      </c>
      <c r="J20" s="53">
        <v>1130</v>
      </c>
      <c r="K20" s="56" t="s">
        <v>34</v>
      </c>
      <c r="L20" s="56" t="s">
        <v>35</v>
      </c>
      <c r="M20" s="56" t="s">
        <v>36</v>
      </c>
      <c r="N20" s="63">
        <v>960</v>
      </c>
      <c r="O20" s="56">
        <v>1.9</v>
      </c>
      <c r="P20" s="56" t="s">
        <v>48</v>
      </c>
      <c r="Q20" s="58">
        <v>70</v>
      </c>
      <c r="R20" s="56">
        <v>4.3</v>
      </c>
      <c r="S20" s="56" t="s">
        <v>33</v>
      </c>
      <c r="T20" s="56" t="s">
        <v>36</v>
      </c>
      <c r="U20" s="56">
        <v>1270</v>
      </c>
      <c r="V20" s="12"/>
      <c r="W20" s="65">
        <v>977</v>
      </c>
      <c r="X20" s="53">
        <v>99.8</v>
      </c>
      <c r="Y20" s="56">
        <v>12.7</v>
      </c>
      <c r="Z20" s="56">
        <v>124</v>
      </c>
      <c r="AA20" s="56">
        <v>10.5</v>
      </c>
      <c r="AB20" s="56">
        <v>738</v>
      </c>
      <c r="AC20" s="56">
        <v>104</v>
      </c>
    </row>
    <row r="21" spans="1:29">
      <c r="A21" s="11">
        <v>1</v>
      </c>
      <c r="B21" s="12" t="s">
        <v>2</v>
      </c>
      <c r="C21" s="13">
        <v>2</v>
      </c>
      <c r="D21" s="14">
        <v>45118</v>
      </c>
      <c r="E21" s="52">
        <v>6.26</v>
      </c>
      <c r="F21" s="53">
        <v>4020</v>
      </c>
      <c r="G21" s="54">
        <v>32</v>
      </c>
      <c r="H21" s="56" t="s">
        <v>33</v>
      </c>
      <c r="I21" s="56">
        <v>17.399999999999999</v>
      </c>
      <c r="J21" s="53">
        <v>1060</v>
      </c>
      <c r="K21" s="56" t="s">
        <v>34</v>
      </c>
      <c r="L21" s="56" t="s">
        <v>35</v>
      </c>
      <c r="M21" s="56" t="s">
        <v>36</v>
      </c>
      <c r="N21" s="63">
        <v>714</v>
      </c>
      <c r="O21" s="56">
        <v>1.8</v>
      </c>
      <c r="P21" s="56" t="s">
        <v>37</v>
      </c>
      <c r="Q21" s="58">
        <v>120</v>
      </c>
      <c r="R21" s="56">
        <v>3.5</v>
      </c>
      <c r="S21" s="56" t="s">
        <v>39</v>
      </c>
      <c r="T21" s="56" t="s">
        <v>40</v>
      </c>
      <c r="U21" s="56">
        <v>1150</v>
      </c>
      <c r="V21" s="12"/>
      <c r="W21" s="65">
        <v>670</v>
      </c>
      <c r="X21" s="53">
        <v>58</v>
      </c>
      <c r="Y21" s="56">
        <v>8.2200000000000006</v>
      </c>
      <c r="Z21" s="56">
        <v>110</v>
      </c>
      <c r="AA21" s="56">
        <v>8.8000000000000007</v>
      </c>
      <c r="AB21" s="56">
        <v>655</v>
      </c>
      <c r="AC21" s="56">
        <v>101</v>
      </c>
    </row>
    <row r="22" spans="1:29">
      <c r="A22" s="11">
        <v>1</v>
      </c>
      <c r="B22" s="12" t="s">
        <v>2</v>
      </c>
      <c r="C22" s="13">
        <v>2</v>
      </c>
      <c r="D22" s="14">
        <v>45097</v>
      </c>
      <c r="E22" s="52">
        <v>6.01</v>
      </c>
      <c r="F22" s="53">
        <v>3510</v>
      </c>
      <c r="G22" s="54">
        <v>32</v>
      </c>
      <c r="H22" s="56" t="s">
        <v>33</v>
      </c>
      <c r="I22" s="56">
        <v>17.2</v>
      </c>
      <c r="J22" s="53">
        <v>1050</v>
      </c>
      <c r="K22" s="56" t="s">
        <v>34</v>
      </c>
      <c r="L22" s="56" t="s">
        <v>35</v>
      </c>
      <c r="M22" s="56" t="s">
        <v>35</v>
      </c>
      <c r="N22" s="63">
        <v>740</v>
      </c>
      <c r="O22" s="56">
        <v>3</v>
      </c>
      <c r="P22" s="56" t="s">
        <v>37</v>
      </c>
      <c r="Q22" s="58" t="s">
        <v>41</v>
      </c>
      <c r="R22" s="56">
        <v>6.4</v>
      </c>
      <c r="S22" s="56" t="s">
        <v>39</v>
      </c>
      <c r="T22" s="56" t="s">
        <v>42</v>
      </c>
      <c r="U22" s="56">
        <v>1140</v>
      </c>
      <c r="V22" s="12"/>
      <c r="W22" s="65">
        <v>956</v>
      </c>
      <c r="X22" s="53">
        <v>98.4</v>
      </c>
      <c r="Y22" s="56">
        <v>9.48</v>
      </c>
      <c r="Z22" s="56">
        <v>119</v>
      </c>
      <c r="AA22" s="56">
        <v>6.6</v>
      </c>
      <c r="AB22" s="56">
        <v>655</v>
      </c>
      <c r="AC22" s="56">
        <v>97.9</v>
      </c>
    </row>
    <row r="23" spans="1:29">
      <c r="A23" s="11">
        <v>1</v>
      </c>
      <c r="B23" s="12" t="s">
        <v>2</v>
      </c>
      <c r="C23" s="13">
        <v>2</v>
      </c>
      <c r="D23" s="14">
        <v>45062</v>
      </c>
      <c r="E23" s="52">
        <v>6.25</v>
      </c>
      <c r="F23" s="53">
        <v>3420</v>
      </c>
      <c r="G23" s="54">
        <v>11.8</v>
      </c>
      <c r="H23" s="56" t="s">
        <v>33</v>
      </c>
      <c r="I23" s="56">
        <v>18.3</v>
      </c>
      <c r="J23" s="53">
        <v>1120</v>
      </c>
      <c r="K23" s="56" t="s">
        <v>34</v>
      </c>
      <c r="L23" s="56" t="s">
        <v>35</v>
      </c>
      <c r="M23" s="56" t="s">
        <v>35</v>
      </c>
      <c r="N23" s="63">
        <v>680</v>
      </c>
      <c r="O23" s="56">
        <v>3</v>
      </c>
      <c r="P23" s="56" t="s">
        <v>37</v>
      </c>
      <c r="Q23" s="58" t="s">
        <v>41</v>
      </c>
      <c r="R23" s="56">
        <v>4.3</v>
      </c>
      <c r="S23" s="56" t="s">
        <v>39</v>
      </c>
      <c r="T23" s="56" t="s">
        <v>42</v>
      </c>
      <c r="U23" s="56">
        <v>1040</v>
      </c>
      <c r="V23" s="12"/>
      <c r="W23" s="65">
        <v>309</v>
      </c>
      <c r="X23" s="53">
        <v>95.8</v>
      </c>
      <c r="Y23" s="56">
        <v>7.75</v>
      </c>
      <c r="Z23" s="56">
        <v>117</v>
      </c>
      <c r="AA23" s="56">
        <v>6.4</v>
      </c>
      <c r="AB23" s="56">
        <v>597</v>
      </c>
      <c r="AC23" s="56">
        <v>88.4</v>
      </c>
    </row>
    <row r="24" spans="1:29">
      <c r="A24" s="11">
        <v>1</v>
      </c>
      <c r="B24" s="12" t="s">
        <v>2</v>
      </c>
      <c r="C24" s="13">
        <v>2</v>
      </c>
      <c r="D24" s="14">
        <v>45006</v>
      </c>
      <c r="E24" s="52">
        <v>5.99</v>
      </c>
      <c r="F24" s="53">
        <v>3420</v>
      </c>
      <c r="G24" s="54">
        <v>34</v>
      </c>
      <c r="H24" s="56" t="s">
        <v>33</v>
      </c>
      <c r="I24" s="56">
        <v>18.7</v>
      </c>
      <c r="J24" s="53">
        <v>1140</v>
      </c>
      <c r="K24" s="56" t="s">
        <v>34</v>
      </c>
      <c r="L24" s="56" t="s">
        <v>35</v>
      </c>
      <c r="M24" s="56" t="s">
        <v>35</v>
      </c>
      <c r="N24" s="63">
        <v>660</v>
      </c>
      <c r="O24" s="56" t="s">
        <v>35</v>
      </c>
      <c r="P24" s="56" t="s">
        <v>37</v>
      </c>
      <c r="Q24" s="58">
        <v>100</v>
      </c>
      <c r="R24" s="56">
        <v>2.1</v>
      </c>
      <c r="S24" s="56" t="s">
        <v>39</v>
      </c>
      <c r="T24" s="56" t="s">
        <v>42</v>
      </c>
      <c r="U24" s="56">
        <v>1090</v>
      </c>
      <c r="V24" s="12"/>
      <c r="W24" s="65">
        <v>423</v>
      </c>
      <c r="X24" s="53">
        <v>143</v>
      </c>
      <c r="Y24" s="56">
        <v>7.56</v>
      </c>
      <c r="Z24" s="56">
        <v>115</v>
      </c>
      <c r="AA24" s="56">
        <v>6.8</v>
      </c>
      <c r="AB24" s="56">
        <v>636</v>
      </c>
      <c r="AC24" s="56">
        <v>86.2</v>
      </c>
    </row>
    <row r="25" spans="1:29">
      <c r="A25" s="11">
        <v>1</v>
      </c>
      <c r="B25" s="12" t="s">
        <v>2</v>
      </c>
      <c r="C25" s="13">
        <v>2</v>
      </c>
      <c r="D25" s="14">
        <v>44796</v>
      </c>
      <c r="E25" s="52">
        <v>6.56</v>
      </c>
      <c r="F25" s="53">
        <v>3150</v>
      </c>
      <c r="G25" s="54">
        <v>30</v>
      </c>
      <c r="H25" s="56" t="s">
        <v>33</v>
      </c>
      <c r="I25" s="56">
        <v>17.2</v>
      </c>
      <c r="J25" s="53">
        <v>1050</v>
      </c>
      <c r="K25" s="56" t="s">
        <v>34</v>
      </c>
      <c r="L25" s="56" t="s">
        <v>35</v>
      </c>
      <c r="M25" s="56" t="s">
        <v>35</v>
      </c>
      <c r="N25" s="63">
        <v>550</v>
      </c>
      <c r="O25" s="56" t="s">
        <v>35</v>
      </c>
      <c r="P25" s="56" t="s">
        <v>37</v>
      </c>
      <c r="Q25" s="58" t="s">
        <v>41</v>
      </c>
      <c r="R25" s="56">
        <v>4.7</v>
      </c>
      <c r="S25" s="56" t="s">
        <v>39</v>
      </c>
      <c r="T25" s="56" t="s">
        <v>42</v>
      </c>
      <c r="U25" s="56">
        <v>837</v>
      </c>
      <c r="V25" s="12"/>
      <c r="W25" s="65">
        <v>405</v>
      </c>
      <c r="X25" s="53">
        <v>58.2</v>
      </c>
      <c r="Y25" s="56">
        <v>5.21</v>
      </c>
      <c r="Z25" s="56">
        <v>120</v>
      </c>
      <c r="AA25" s="56">
        <v>5.0999999999999996</v>
      </c>
      <c r="AB25" s="56">
        <v>461</v>
      </c>
      <c r="AC25" s="56">
        <v>83.3</v>
      </c>
    </row>
    <row r="26" spans="1:29">
      <c r="A26" s="11">
        <v>1</v>
      </c>
      <c r="B26" s="12" t="s">
        <v>2</v>
      </c>
      <c r="C26" s="13">
        <v>2</v>
      </c>
      <c r="D26" s="14">
        <v>44720</v>
      </c>
      <c r="E26" s="52">
        <v>5.81</v>
      </c>
      <c r="F26" s="53">
        <v>4200</v>
      </c>
      <c r="G26" s="54">
        <v>63</v>
      </c>
      <c r="H26" s="56" t="s">
        <v>33</v>
      </c>
      <c r="I26" s="56">
        <v>17.3</v>
      </c>
      <c r="J26" s="53">
        <v>1060</v>
      </c>
      <c r="K26" s="56" t="s">
        <v>34</v>
      </c>
      <c r="L26" s="56" t="s">
        <v>35</v>
      </c>
      <c r="M26" s="56" t="s">
        <v>35</v>
      </c>
      <c r="N26" s="63">
        <v>1010</v>
      </c>
      <c r="O26" s="56" t="s">
        <v>35</v>
      </c>
      <c r="P26" s="56" t="s">
        <v>37</v>
      </c>
      <c r="Q26" s="58" t="s">
        <v>41</v>
      </c>
      <c r="R26" s="56">
        <v>8.8000000000000007</v>
      </c>
      <c r="S26" s="56" t="s">
        <v>39</v>
      </c>
      <c r="T26" s="56" t="s">
        <v>42</v>
      </c>
      <c r="U26" s="56">
        <v>1250</v>
      </c>
      <c r="V26" s="12"/>
      <c r="W26" s="65">
        <v>645</v>
      </c>
      <c r="X26" s="53">
        <v>203</v>
      </c>
      <c r="Y26" s="56">
        <v>12.2</v>
      </c>
      <c r="Z26" s="56">
        <v>136</v>
      </c>
      <c r="AA26" s="56">
        <v>8.9</v>
      </c>
      <c r="AB26" s="56">
        <v>728</v>
      </c>
      <c r="AC26" s="56">
        <v>102</v>
      </c>
    </row>
    <row r="27" spans="1:29">
      <c r="A27" s="11">
        <v>1</v>
      </c>
      <c r="B27" s="12" t="s">
        <v>2</v>
      </c>
      <c r="C27" s="13">
        <v>2</v>
      </c>
      <c r="D27" s="14">
        <v>44704</v>
      </c>
      <c r="E27" s="52">
        <v>5.83</v>
      </c>
      <c r="F27" s="53">
        <v>4450</v>
      </c>
      <c r="G27" s="54">
        <v>44</v>
      </c>
      <c r="H27" s="56" t="s">
        <v>33</v>
      </c>
      <c r="I27" s="56">
        <v>17</v>
      </c>
      <c r="J27" s="53">
        <v>1040</v>
      </c>
      <c r="K27" s="56" t="s">
        <v>34</v>
      </c>
      <c r="L27" s="56" t="s">
        <v>35</v>
      </c>
      <c r="M27" s="56" t="s">
        <v>35</v>
      </c>
      <c r="N27" s="63">
        <v>1010</v>
      </c>
      <c r="O27" s="56">
        <v>3</v>
      </c>
      <c r="P27" s="56" t="s">
        <v>37</v>
      </c>
      <c r="Q27" s="58" t="s">
        <v>41</v>
      </c>
      <c r="R27" s="56">
        <v>7</v>
      </c>
      <c r="S27" s="56" t="s">
        <v>39</v>
      </c>
      <c r="T27" s="56" t="s">
        <v>42</v>
      </c>
      <c r="U27" s="56">
        <v>1190</v>
      </c>
      <c r="V27" s="12"/>
      <c r="W27" s="65">
        <v>763</v>
      </c>
      <c r="X27" s="53">
        <v>192</v>
      </c>
      <c r="Y27" s="56">
        <v>11.2</v>
      </c>
      <c r="Z27" s="56">
        <v>134</v>
      </c>
      <c r="AA27" s="56">
        <v>9.1</v>
      </c>
      <c r="AB27" s="56">
        <v>692</v>
      </c>
      <c r="AC27" s="56">
        <v>95.5</v>
      </c>
    </row>
    <row r="28" spans="1:29">
      <c r="A28" s="11">
        <v>1</v>
      </c>
      <c r="B28" s="12" t="s">
        <v>2</v>
      </c>
      <c r="C28" s="13">
        <v>2</v>
      </c>
      <c r="D28" s="14">
        <v>44676</v>
      </c>
      <c r="E28" s="52">
        <v>6.24</v>
      </c>
      <c r="F28" s="53">
        <v>3890</v>
      </c>
      <c r="G28" s="54">
        <v>46</v>
      </c>
      <c r="H28" s="56" t="s">
        <v>33</v>
      </c>
      <c r="I28" s="56">
        <v>17.2</v>
      </c>
      <c r="J28" s="53">
        <v>1050</v>
      </c>
      <c r="K28" s="56" t="s">
        <v>34</v>
      </c>
      <c r="L28" s="56" t="s">
        <v>35</v>
      </c>
      <c r="M28" s="56" t="s">
        <v>40</v>
      </c>
      <c r="N28" s="63">
        <v>790</v>
      </c>
      <c r="O28" s="56" t="s">
        <v>40</v>
      </c>
      <c r="P28" s="56" t="s">
        <v>37</v>
      </c>
      <c r="Q28" s="58" t="s">
        <v>49</v>
      </c>
      <c r="R28" s="56">
        <v>6.5</v>
      </c>
      <c r="S28" s="56" t="s">
        <v>39</v>
      </c>
      <c r="T28" s="56" t="s">
        <v>50</v>
      </c>
      <c r="U28" s="56">
        <v>1050</v>
      </c>
      <c r="V28" s="56"/>
      <c r="W28" s="65">
        <v>495</v>
      </c>
      <c r="X28" s="53">
        <v>126</v>
      </c>
      <c r="Y28" s="56">
        <v>8.27</v>
      </c>
      <c r="Z28" s="56">
        <v>147</v>
      </c>
      <c r="AA28" s="56">
        <v>8.1999999999999993</v>
      </c>
      <c r="AB28" s="56">
        <v>599</v>
      </c>
      <c r="AC28" s="56">
        <v>93.8</v>
      </c>
    </row>
    <row r="29" spans="1:29">
      <c r="A29" s="11">
        <v>1</v>
      </c>
      <c r="B29" s="12" t="s">
        <v>2</v>
      </c>
      <c r="C29" s="13">
        <v>2</v>
      </c>
      <c r="D29" s="14">
        <v>44641</v>
      </c>
      <c r="E29" s="52">
        <v>6</v>
      </c>
      <c r="F29" s="53">
        <v>3030</v>
      </c>
      <c r="G29" s="54">
        <v>30</v>
      </c>
      <c r="H29" s="55" t="s">
        <v>33</v>
      </c>
      <c r="I29" s="55">
        <v>14.2</v>
      </c>
      <c r="J29" s="53">
        <v>866</v>
      </c>
      <c r="K29" s="56" t="s">
        <v>34</v>
      </c>
      <c r="L29" s="56" t="s">
        <v>35</v>
      </c>
      <c r="M29" s="56" t="s">
        <v>35</v>
      </c>
      <c r="N29" s="63">
        <v>630</v>
      </c>
      <c r="O29" s="56" t="s">
        <v>35</v>
      </c>
      <c r="P29" s="56" t="s">
        <v>37</v>
      </c>
      <c r="Q29" s="58" t="s">
        <v>41</v>
      </c>
      <c r="R29" s="56">
        <v>5.6</v>
      </c>
      <c r="S29" s="56" t="s">
        <v>39</v>
      </c>
      <c r="T29" s="56" t="s">
        <v>42</v>
      </c>
      <c r="U29" s="56">
        <v>829</v>
      </c>
      <c r="V29" s="56"/>
      <c r="W29" s="65">
        <v>373</v>
      </c>
      <c r="X29" s="53">
        <v>65.2</v>
      </c>
      <c r="Y29" s="56">
        <v>4.8499999999999996</v>
      </c>
      <c r="Z29" s="56">
        <v>125</v>
      </c>
      <c r="AA29" s="56">
        <v>5.2</v>
      </c>
      <c r="AB29" s="56">
        <v>462</v>
      </c>
      <c r="AC29" s="56">
        <v>79.3</v>
      </c>
    </row>
    <row r="30" spans="1:29">
      <c r="A30" s="11">
        <v>1</v>
      </c>
      <c r="B30" s="12" t="s">
        <v>2</v>
      </c>
      <c r="C30" s="13">
        <v>2</v>
      </c>
      <c r="D30" s="14">
        <v>44613</v>
      </c>
      <c r="E30" s="52">
        <v>6.6</v>
      </c>
      <c r="F30" s="53">
        <v>2060</v>
      </c>
      <c r="G30" s="54">
        <v>8.9</v>
      </c>
      <c r="H30" s="56" t="s">
        <v>33</v>
      </c>
      <c r="I30" s="56">
        <v>14.3</v>
      </c>
      <c r="J30" s="53">
        <v>872</v>
      </c>
      <c r="K30" s="56" t="s">
        <v>34</v>
      </c>
      <c r="L30" s="56" t="s">
        <v>35</v>
      </c>
      <c r="M30" s="56" t="s">
        <v>35</v>
      </c>
      <c r="N30" s="63">
        <v>230</v>
      </c>
      <c r="O30" s="56">
        <v>2</v>
      </c>
      <c r="P30" s="56" t="s">
        <v>37</v>
      </c>
      <c r="Q30" s="58" t="s">
        <v>41</v>
      </c>
      <c r="R30" s="56">
        <v>4.0999999999999996</v>
      </c>
      <c r="S30" s="56" t="s">
        <v>39</v>
      </c>
      <c r="T30" s="56" t="s">
        <v>42</v>
      </c>
      <c r="U30" s="56">
        <v>639</v>
      </c>
      <c r="V30" s="12"/>
      <c r="W30" s="65">
        <v>194</v>
      </c>
      <c r="X30" s="53">
        <v>20.7</v>
      </c>
      <c r="Y30" s="56">
        <v>3.9</v>
      </c>
      <c r="Z30" s="56">
        <v>94.8</v>
      </c>
      <c r="AA30" s="56">
        <v>4.2</v>
      </c>
      <c r="AB30" s="56">
        <v>348</v>
      </c>
      <c r="AC30" s="56">
        <v>65.900000000000006</v>
      </c>
    </row>
    <row r="31" spans="1:29">
      <c r="A31" s="11">
        <v>1</v>
      </c>
      <c r="B31" s="12" t="s">
        <v>2</v>
      </c>
      <c r="C31" s="13">
        <v>2</v>
      </c>
      <c r="D31" s="14">
        <v>44593</v>
      </c>
      <c r="E31" s="52">
        <v>6.35</v>
      </c>
      <c r="F31" s="53">
        <v>2150</v>
      </c>
      <c r="G31" s="54">
        <v>22</v>
      </c>
      <c r="H31" s="56" t="s">
        <v>33</v>
      </c>
      <c r="I31" s="56">
        <v>13.8</v>
      </c>
      <c r="J31" s="53">
        <v>842</v>
      </c>
      <c r="K31" s="56" t="s">
        <v>34</v>
      </c>
      <c r="L31" s="56" t="s">
        <v>35</v>
      </c>
      <c r="M31" s="56" t="s">
        <v>35</v>
      </c>
      <c r="N31" s="63">
        <v>210</v>
      </c>
      <c r="O31" s="56" t="s">
        <v>35</v>
      </c>
      <c r="P31" s="56" t="s">
        <v>37</v>
      </c>
      <c r="Q31" s="58">
        <v>100</v>
      </c>
      <c r="R31" s="56">
        <v>3.9</v>
      </c>
      <c r="S31" s="56" t="s">
        <v>39</v>
      </c>
      <c r="T31" s="56" t="s">
        <v>42</v>
      </c>
      <c r="U31" s="56">
        <v>636</v>
      </c>
      <c r="V31" s="56"/>
      <c r="W31" s="65">
        <v>337</v>
      </c>
      <c r="X31" s="53">
        <v>64</v>
      </c>
      <c r="Y31" s="56">
        <v>4.0999999999999996</v>
      </c>
      <c r="Z31" s="56">
        <v>89.1</v>
      </c>
      <c r="AA31" s="56">
        <v>5</v>
      </c>
      <c r="AB31" s="56">
        <v>347</v>
      </c>
      <c r="AC31" s="56">
        <v>65.2</v>
      </c>
    </row>
    <row r="32" spans="1:29">
      <c r="A32" s="11">
        <v>1</v>
      </c>
      <c r="B32" s="12" t="s">
        <v>2</v>
      </c>
      <c r="C32" s="13">
        <v>2</v>
      </c>
      <c r="D32" s="14">
        <v>44543</v>
      </c>
      <c r="E32" s="52">
        <v>6.18</v>
      </c>
      <c r="F32" s="53">
        <v>2200</v>
      </c>
      <c r="G32" s="54">
        <v>47</v>
      </c>
      <c r="H32" s="56" t="s">
        <v>33</v>
      </c>
      <c r="I32" s="56">
        <v>18.899999999999999</v>
      </c>
      <c r="J32" s="53">
        <v>1150</v>
      </c>
      <c r="K32" s="56" t="s">
        <v>34</v>
      </c>
      <c r="L32" s="56" t="s">
        <v>35</v>
      </c>
      <c r="M32" s="56" t="s">
        <v>35</v>
      </c>
      <c r="N32" s="63">
        <v>230</v>
      </c>
      <c r="O32" s="56">
        <v>2</v>
      </c>
      <c r="P32" s="56" t="s">
        <v>37</v>
      </c>
      <c r="Q32" s="58" t="s">
        <v>41</v>
      </c>
      <c r="R32" s="56">
        <v>4.2</v>
      </c>
      <c r="S32" s="56" t="s">
        <v>39</v>
      </c>
      <c r="T32" s="56" t="s">
        <v>42</v>
      </c>
      <c r="U32" s="56">
        <v>645</v>
      </c>
      <c r="V32" s="12"/>
      <c r="W32" s="65">
        <v>549</v>
      </c>
      <c r="X32" s="53">
        <v>73.8</v>
      </c>
      <c r="Y32" s="56">
        <v>4.4000000000000004</v>
      </c>
      <c r="Z32" s="56">
        <v>92.7</v>
      </c>
      <c r="AA32" s="56">
        <v>4.8</v>
      </c>
      <c r="AB32" s="56">
        <v>352</v>
      </c>
      <c r="AC32" s="56">
        <v>66.2</v>
      </c>
    </row>
    <row r="33" spans="1:29">
      <c r="A33" s="11">
        <v>1</v>
      </c>
      <c r="B33" s="12" t="s">
        <v>2</v>
      </c>
      <c r="C33" s="13">
        <v>2</v>
      </c>
      <c r="D33" s="14">
        <v>44515</v>
      </c>
      <c r="E33" s="52">
        <v>6.18</v>
      </c>
      <c r="F33" s="53">
        <v>2410</v>
      </c>
      <c r="G33" s="54">
        <v>27</v>
      </c>
      <c r="H33" s="56" t="s">
        <v>33</v>
      </c>
      <c r="I33" s="56">
        <v>15.3</v>
      </c>
      <c r="J33" s="53">
        <v>933</v>
      </c>
      <c r="K33" s="56" t="s">
        <v>34</v>
      </c>
      <c r="L33" s="56" t="s">
        <v>35</v>
      </c>
      <c r="M33" s="56" t="s">
        <v>35</v>
      </c>
      <c r="N33" s="63">
        <v>290</v>
      </c>
      <c r="O33" s="56">
        <v>3</v>
      </c>
      <c r="P33" s="56" t="s">
        <v>37</v>
      </c>
      <c r="Q33" s="58">
        <v>100</v>
      </c>
      <c r="R33" s="56">
        <v>61</v>
      </c>
      <c r="S33" s="56" t="s">
        <v>39</v>
      </c>
      <c r="T33" s="56" t="s">
        <v>42</v>
      </c>
      <c r="U33" s="56">
        <v>699</v>
      </c>
      <c r="V33" s="12"/>
      <c r="W33" s="65">
        <v>557</v>
      </c>
      <c r="X33" s="53">
        <v>109</v>
      </c>
      <c r="Y33" s="56">
        <v>5.13</v>
      </c>
      <c r="Z33" s="56">
        <v>92.4</v>
      </c>
      <c r="AA33" s="56">
        <v>5</v>
      </c>
      <c r="AB33" s="56">
        <v>383</v>
      </c>
      <c r="AC33" s="56">
        <v>70.7</v>
      </c>
    </row>
    <row r="34" spans="1:29">
      <c r="A34" s="11">
        <v>1</v>
      </c>
      <c r="B34" s="12" t="s">
        <v>2</v>
      </c>
      <c r="C34" s="13">
        <v>2</v>
      </c>
      <c r="D34" s="14">
        <v>44489</v>
      </c>
      <c r="E34" s="52">
        <v>6.27</v>
      </c>
      <c r="F34" s="53">
        <v>2420</v>
      </c>
      <c r="G34" s="54">
        <v>20</v>
      </c>
      <c r="H34" s="56" t="s">
        <v>33</v>
      </c>
      <c r="I34" s="56">
        <v>16.3</v>
      </c>
      <c r="J34" s="53">
        <v>994</v>
      </c>
      <c r="K34" s="56" t="s">
        <v>34</v>
      </c>
      <c r="L34" s="56" t="s">
        <v>35</v>
      </c>
      <c r="M34" s="56" t="s">
        <v>35</v>
      </c>
      <c r="N34" s="63">
        <v>290</v>
      </c>
      <c r="O34" s="56">
        <v>3</v>
      </c>
      <c r="P34" s="56">
        <v>0.12</v>
      </c>
      <c r="Q34" s="58" t="s">
        <v>41</v>
      </c>
      <c r="R34" s="56">
        <v>10</v>
      </c>
      <c r="S34" s="56" t="s">
        <v>51</v>
      </c>
      <c r="T34" s="56" t="s">
        <v>42</v>
      </c>
      <c r="U34" s="56">
        <v>763</v>
      </c>
      <c r="V34" s="12"/>
      <c r="W34" s="65">
        <v>665</v>
      </c>
      <c r="X34" s="53">
        <v>55.1</v>
      </c>
      <c r="Y34" s="56">
        <v>5.41</v>
      </c>
      <c r="Z34" s="56">
        <v>98.4</v>
      </c>
      <c r="AA34" s="56">
        <v>7</v>
      </c>
      <c r="AB34" s="56">
        <v>419</v>
      </c>
      <c r="AC34" s="56">
        <v>76.8</v>
      </c>
    </row>
    <row r="35" spans="1:29">
      <c r="A35" s="11">
        <v>1</v>
      </c>
      <c r="B35" s="12" t="s">
        <v>2</v>
      </c>
      <c r="C35" s="13">
        <v>2</v>
      </c>
      <c r="D35" s="14">
        <v>44466</v>
      </c>
      <c r="E35" s="52">
        <v>6.13</v>
      </c>
      <c r="F35" s="53">
        <v>2560</v>
      </c>
      <c r="G35" s="54">
        <v>41</v>
      </c>
      <c r="H35" s="56" t="s">
        <v>33</v>
      </c>
      <c r="I35" s="56">
        <v>16.2</v>
      </c>
      <c r="J35" s="53">
        <v>988</v>
      </c>
      <c r="K35" s="56" t="s">
        <v>34</v>
      </c>
      <c r="L35" s="56" t="s">
        <v>35</v>
      </c>
      <c r="M35" s="56" t="s">
        <v>35</v>
      </c>
      <c r="N35" s="63">
        <v>300</v>
      </c>
      <c r="O35" s="56">
        <v>4</v>
      </c>
      <c r="P35" s="56" t="s">
        <v>37</v>
      </c>
      <c r="Q35" s="58" t="s">
        <v>41</v>
      </c>
      <c r="R35" s="56">
        <v>6.2</v>
      </c>
      <c r="S35" s="56" t="s">
        <v>39</v>
      </c>
      <c r="T35" s="56" t="s">
        <v>42</v>
      </c>
      <c r="U35" s="56">
        <v>758</v>
      </c>
      <c r="V35" s="12"/>
      <c r="W35" s="65">
        <v>6.4</v>
      </c>
      <c r="X35" s="53">
        <v>88.7</v>
      </c>
      <c r="Y35" s="56">
        <v>5.47</v>
      </c>
      <c r="Z35" s="56">
        <v>98.6</v>
      </c>
      <c r="AA35" s="56">
        <v>6.1</v>
      </c>
      <c r="AB35" s="56">
        <v>417</v>
      </c>
      <c r="AC35" s="56">
        <v>75.7</v>
      </c>
    </row>
    <row r="36" spans="1:29">
      <c r="A36" s="11">
        <v>1</v>
      </c>
      <c r="B36" s="12" t="s">
        <v>2</v>
      </c>
      <c r="C36" s="13">
        <v>2</v>
      </c>
      <c r="D36" s="14">
        <v>44431</v>
      </c>
      <c r="E36" s="52">
        <v>5.88</v>
      </c>
      <c r="F36" s="53">
        <v>2900</v>
      </c>
      <c r="G36" s="54">
        <v>65</v>
      </c>
      <c r="H36" s="56" t="s">
        <v>33</v>
      </c>
      <c r="I36" s="56">
        <v>26.9</v>
      </c>
      <c r="J36" s="53">
        <v>1640</v>
      </c>
      <c r="K36" s="56" t="s">
        <v>34</v>
      </c>
      <c r="L36" s="56" t="s">
        <v>35</v>
      </c>
      <c r="M36" s="56" t="s">
        <v>35</v>
      </c>
      <c r="N36" s="63">
        <v>320</v>
      </c>
      <c r="O36" s="56">
        <v>6</v>
      </c>
      <c r="P36" s="56">
        <v>41.1</v>
      </c>
      <c r="Q36" s="58" t="s">
        <v>41</v>
      </c>
      <c r="R36" s="56">
        <v>49</v>
      </c>
      <c r="S36" s="56" t="s">
        <v>39</v>
      </c>
      <c r="T36" s="56" t="s">
        <v>42</v>
      </c>
      <c r="U36" s="56">
        <v>782</v>
      </c>
      <c r="V36" s="12"/>
      <c r="W36" s="65">
        <v>1180</v>
      </c>
      <c r="X36" s="53">
        <v>67.099999999999994</v>
      </c>
      <c r="Y36" s="56">
        <v>6</v>
      </c>
      <c r="Z36" s="56">
        <v>105</v>
      </c>
      <c r="AA36" s="56">
        <v>11.8</v>
      </c>
      <c r="AB36" s="56">
        <v>424</v>
      </c>
      <c r="AC36" s="56">
        <v>81.599999999999994</v>
      </c>
    </row>
    <row r="37" spans="1:29">
      <c r="A37" s="11">
        <v>1</v>
      </c>
      <c r="B37" s="12" t="s">
        <v>2</v>
      </c>
      <c r="C37" s="13">
        <v>2</v>
      </c>
      <c r="D37" s="14">
        <v>44410</v>
      </c>
      <c r="E37" s="52">
        <v>6.03</v>
      </c>
      <c r="F37" s="53">
        <v>3260</v>
      </c>
      <c r="G37" s="54">
        <v>45</v>
      </c>
      <c r="H37" s="56" t="s">
        <v>33</v>
      </c>
      <c r="I37" s="56">
        <v>17.600000000000001</v>
      </c>
      <c r="J37" s="53">
        <v>1070</v>
      </c>
      <c r="K37" s="56" t="s">
        <v>34</v>
      </c>
      <c r="L37" s="56" t="s">
        <v>35</v>
      </c>
      <c r="M37" s="56" t="s">
        <v>36</v>
      </c>
      <c r="N37" s="63">
        <v>385</v>
      </c>
      <c r="O37" s="56">
        <v>4.0999999999999996</v>
      </c>
      <c r="P37" s="56" t="s">
        <v>37</v>
      </c>
      <c r="Q37" s="58" t="s">
        <v>38</v>
      </c>
      <c r="R37" s="56">
        <v>7</v>
      </c>
      <c r="S37" s="56" t="s">
        <v>39</v>
      </c>
      <c r="T37" s="56" t="s">
        <v>40</v>
      </c>
      <c r="U37" s="56">
        <v>854</v>
      </c>
      <c r="V37" s="12"/>
      <c r="W37" s="65">
        <v>1350</v>
      </c>
      <c r="X37" s="53">
        <v>158</v>
      </c>
      <c r="Y37" s="56">
        <v>6.89</v>
      </c>
      <c r="Z37" s="56">
        <v>105</v>
      </c>
      <c r="AA37" s="56">
        <v>6.2</v>
      </c>
      <c r="AB37" s="56">
        <v>472</v>
      </c>
      <c r="AC37" s="56">
        <v>84</v>
      </c>
    </row>
    <row r="38" spans="1:29">
      <c r="A38" s="11">
        <v>1</v>
      </c>
      <c r="B38" s="12" t="s">
        <v>2</v>
      </c>
      <c r="C38" s="13">
        <v>2</v>
      </c>
      <c r="D38" s="23" t="s">
        <v>3</v>
      </c>
      <c r="E38" s="52">
        <v>6</v>
      </c>
      <c r="F38" s="53">
        <v>2910</v>
      </c>
      <c r="G38" s="54">
        <v>34</v>
      </c>
      <c r="H38" s="55" t="s">
        <v>43</v>
      </c>
      <c r="I38" s="56">
        <v>19.399999999999999</v>
      </c>
      <c r="J38" s="53">
        <v>1180</v>
      </c>
      <c r="K38" s="56" t="s">
        <v>34</v>
      </c>
      <c r="L38" s="56" t="s">
        <v>35</v>
      </c>
      <c r="M38" s="56" t="s">
        <v>36</v>
      </c>
      <c r="N38" s="63">
        <v>361</v>
      </c>
      <c r="O38" s="56">
        <v>2.6</v>
      </c>
      <c r="P38" s="56" t="s">
        <v>52</v>
      </c>
      <c r="Q38" s="58" t="s">
        <v>38</v>
      </c>
      <c r="R38" s="56" t="s">
        <v>35</v>
      </c>
      <c r="S38" s="56" t="s">
        <v>45</v>
      </c>
      <c r="T38" s="56" t="s">
        <v>40</v>
      </c>
      <c r="U38" s="56">
        <v>897</v>
      </c>
      <c r="V38" s="56"/>
      <c r="W38" s="65">
        <v>597</v>
      </c>
      <c r="X38" s="53">
        <v>157</v>
      </c>
      <c r="Y38" s="56">
        <v>6.99</v>
      </c>
      <c r="Z38" s="56">
        <v>107</v>
      </c>
      <c r="AA38" s="56">
        <v>5.2</v>
      </c>
      <c r="AB38" s="56">
        <v>494</v>
      </c>
      <c r="AC38" s="56">
        <v>89</v>
      </c>
    </row>
    <row r="39" spans="1:29">
      <c r="A39" s="11">
        <v>1</v>
      </c>
      <c r="B39" s="12" t="s">
        <v>2</v>
      </c>
      <c r="C39" s="13">
        <v>2</v>
      </c>
      <c r="D39" s="14">
        <v>44312</v>
      </c>
      <c r="E39" s="52">
        <v>5.5</v>
      </c>
      <c r="F39" s="53">
        <v>3090</v>
      </c>
      <c r="G39" s="54">
        <v>220</v>
      </c>
      <c r="H39" s="55" t="s">
        <v>33</v>
      </c>
      <c r="I39" s="56">
        <v>28.6</v>
      </c>
      <c r="J39" s="53">
        <v>1740</v>
      </c>
      <c r="K39" s="56" t="s">
        <v>34</v>
      </c>
      <c r="L39" s="56" t="s">
        <v>35</v>
      </c>
      <c r="M39" s="56" t="s">
        <v>35</v>
      </c>
      <c r="N39" s="63">
        <v>340</v>
      </c>
      <c r="O39" s="56">
        <v>2</v>
      </c>
      <c r="P39" s="56">
        <v>1.1000000000000001</v>
      </c>
      <c r="Q39" s="58" t="s">
        <v>41</v>
      </c>
      <c r="R39" s="56" t="s">
        <v>35</v>
      </c>
      <c r="S39" s="56">
        <v>0.04</v>
      </c>
      <c r="T39" s="56" t="s">
        <v>42</v>
      </c>
      <c r="U39" s="56">
        <v>941</v>
      </c>
      <c r="V39" s="56"/>
      <c r="W39" s="65">
        <v>461</v>
      </c>
      <c r="X39" s="53">
        <v>177</v>
      </c>
      <c r="Y39" s="56">
        <v>7.58</v>
      </c>
      <c r="Z39" s="56">
        <v>102</v>
      </c>
      <c r="AA39" s="56">
        <v>5.6</v>
      </c>
      <c r="AB39" s="56">
        <v>521</v>
      </c>
      <c r="AC39" s="56">
        <v>92</v>
      </c>
    </row>
    <row r="40" spans="1:29">
      <c r="A40" s="11">
        <v>1</v>
      </c>
      <c r="B40" s="12" t="s">
        <v>2</v>
      </c>
      <c r="C40" s="13">
        <v>2</v>
      </c>
      <c r="D40" s="14">
        <v>44280</v>
      </c>
      <c r="E40" s="52">
        <v>5.82</v>
      </c>
      <c r="F40" s="53">
        <v>3310</v>
      </c>
      <c r="G40" s="54">
        <v>147</v>
      </c>
      <c r="H40" s="55" t="s">
        <v>33</v>
      </c>
      <c r="I40" s="56">
        <v>18.3</v>
      </c>
      <c r="J40" s="53">
        <v>1120</v>
      </c>
      <c r="K40" s="56" t="s">
        <v>34</v>
      </c>
      <c r="L40" s="56" t="s">
        <v>35</v>
      </c>
      <c r="M40" s="56" t="s">
        <v>36</v>
      </c>
      <c r="N40" s="63">
        <v>423</v>
      </c>
      <c r="O40" s="56">
        <v>2.2000000000000002</v>
      </c>
      <c r="P40" s="56" t="s">
        <v>37</v>
      </c>
      <c r="Q40" s="58" t="s">
        <v>38</v>
      </c>
      <c r="R40" s="56" t="s">
        <v>53</v>
      </c>
      <c r="S40" s="56" t="s">
        <v>39</v>
      </c>
      <c r="T40" s="56" t="s">
        <v>40</v>
      </c>
      <c r="U40" s="56">
        <v>964</v>
      </c>
      <c r="V40" s="56"/>
      <c r="W40" s="65">
        <v>618</v>
      </c>
      <c r="X40" s="53">
        <v>150</v>
      </c>
      <c r="Y40" s="56">
        <v>7.42</v>
      </c>
      <c r="Z40" s="56">
        <v>106</v>
      </c>
      <c r="AA40" s="56">
        <v>4.8</v>
      </c>
      <c r="AB40" s="56">
        <v>541</v>
      </c>
      <c r="AC40" s="56">
        <v>89.9</v>
      </c>
    </row>
    <row r="41" spans="1:29">
      <c r="A41" s="11">
        <v>1</v>
      </c>
      <c r="B41" s="12" t="s">
        <v>2</v>
      </c>
      <c r="C41" s="13">
        <v>2</v>
      </c>
      <c r="D41" s="14">
        <v>44249</v>
      </c>
      <c r="E41" s="52">
        <v>5.7</v>
      </c>
      <c r="F41" s="53">
        <v>2910</v>
      </c>
      <c r="G41" s="54">
        <v>190</v>
      </c>
      <c r="H41" s="55" t="s">
        <v>33</v>
      </c>
      <c r="I41" s="56">
        <v>18.2</v>
      </c>
      <c r="J41" s="53">
        <v>1110</v>
      </c>
      <c r="K41" s="56" t="s">
        <v>34</v>
      </c>
      <c r="L41" s="56" t="s">
        <v>35</v>
      </c>
      <c r="M41" s="56" t="s">
        <v>36</v>
      </c>
      <c r="N41" s="63">
        <v>361</v>
      </c>
      <c r="O41" s="56">
        <v>2.1</v>
      </c>
      <c r="P41" s="56">
        <v>0.95</v>
      </c>
      <c r="Q41" s="58" t="s">
        <v>38</v>
      </c>
      <c r="R41" s="56" t="s">
        <v>54</v>
      </c>
      <c r="S41" s="56" t="s">
        <v>39</v>
      </c>
      <c r="T41" s="56" t="s">
        <v>40</v>
      </c>
      <c r="U41" s="56">
        <v>916</v>
      </c>
      <c r="V41" s="87"/>
      <c r="W41" s="65">
        <v>394</v>
      </c>
      <c r="X41" s="53">
        <v>151</v>
      </c>
      <c r="Y41" s="56">
        <v>6.85</v>
      </c>
      <c r="Z41" s="56">
        <v>101</v>
      </c>
      <c r="AA41" s="56">
        <v>5</v>
      </c>
      <c r="AB41" s="56">
        <v>507</v>
      </c>
      <c r="AC41" s="56">
        <v>89.5</v>
      </c>
    </row>
    <row r="42" spans="1:29">
      <c r="A42" s="11">
        <v>1</v>
      </c>
      <c r="B42" s="12" t="s">
        <v>2</v>
      </c>
      <c r="C42" s="13">
        <v>2</v>
      </c>
      <c r="D42" s="14">
        <v>44217</v>
      </c>
      <c r="E42" s="52">
        <v>5.3</v>
      </c>
      <c r="F42" s="53">
        <v>2930</v>
      </c>
      <c r="G42" s="54">
        <v>148</v>
      </c>
      <c r="H42" s="55" t="s">
        <v>33</v>
      </c>
      <c r="I42" s="56">
        <v>7.1</v>
      </c>
      <c r="J42" s="53">
        <v>433</v>
      </c>
      <c r="K42" s="56" t="s">
        <v>34</v>
      </c>
      <c r="L42" s="56" t="s">
        <v>35</v>
      </c>
      <c r="M42" s="56" t="s">
        <v>35</v>
      </c>
      <c r="N42" s="63">
        <v>380</v>
      </c>
      <c r="O42" s="56">
        <v>3</v>
      </c>
      <c r="P42" s="56" t="s">
        <v>37</v>
      </c>
      <c r="Q42" s="58" t="s">
        <v>41</v>
      </c>
      <c r="R42" s="56" t="s">
        <v>55</v>
      </c>
      <c r="S42" s="56" t="s">
        <v>39</v>
      </c>
      <c r="T42" s="56" t="s">
        <v>42</v>
      </c>
      <c r="U42" s="56">
        <v>882</v>
      </c>
      <c r="V42" s="56"/>
      <c r="W42" s="65">
        <v>833</v>
      </c>
      <c r="X42" s="53">
        <v>146</v>
      </c>
      <c r="Y42" s="56">
        <v>6.69</v>
      </c>
      <c r="Z42" s="56">
        <v>97.1</v>
      </c>
      <c r="AA42" s="56">
        <v>4.4000000000000004</v>
      </c>
      <c r="AB42" s="56">
        <v>488</v>
      </c>
      <c r="AC42" s="56">
        <v>86.3</v>
      </c>
    </row>
    <row r="43" spans="1:29">
      <c r="A43" s="11">
        <v>1</v>
      </c>
      <c r="B43" s="12" t="s">
        <v>2</v>
      </c>
      <c r="C43" s="13">
        <v>2</v>
      </c>
      <c r="D43" s="14">
        <v>44186</v>
      </c>
      <c r="E43" s="52">
        <v>5.91</v>
      </c>
      <c r="F43" s="53">
        <v>2610</v>
      </c>
      <c r="G43" s="54">
        <v>52</v>
      </c>
      <c r="H43" s="55" t="s">
        <v>33</v>
      </c>
      <c r="I43" s="56">
        <v>15.6</v>
      </c>
      <c r="J43" s="53">
        <v>952</v>
      </c>
      <c r="K43" s="53" t="s">
        <v>34</v>
      </c>
      <c r="L43" s="56" t="s">
        <v>35</v>
      </c>
      <c r="M43" s="56" t="s">
        <v>35</v>
      </c>
      <c r="N43" s="63">
        <v>340</v>
      </c>
      <c r="O43" s="56">
        <v>4</v>
      </c>
      <c r="P43" s="56" t="s">
        <v>37</v>
      </c>
      <c r="Q43" s="58">
        <v>100</v>
      </c>
      <c r="R43" s="56" t="s">
        <v>35</v>
      </c>
      <c r="S43" s="56" t="s">
        <v>39</v>
      </c>
      <c r="T43" s="56" t="s">
        <v>42</v>
      </c>
      <c r="U43" s="56">
        <v>791</v>
      </c>
      <c r="V43" s="87"/>
      <c r="W43" s="65">
        <v>1270</v>
      </c>
      <c r="X43" s="53">
        <v>135</v>
      </c>
      <c r="Y43" s="53">
        <v>6.23</v>
      </c>
      <c r="Z43" s="53">
        <v>91.4</v>
      </c>
      <c r="AA43" s="53">
        <v>4.0999999999999996</v>
      </c>
      <c r="AB43" s="53">
        <v>439</v>
      </c>
      <c r="AC43" s="53">
        <v>76.5</v>
      </c>
    </row>
    <row r="44" spans="1:29">
      <c r="A44" s="11">
        <v>1</v>
      </c>
      <c r="B44" s="12" t="s">
        <v>2</v>
      </c>
      <c r="C44" s="13">
        <v>2</v>
      </c>
      <c r="D44" s="14">
        <v>44160</v>
      </c>
      <c r="E44" s="52">
        <v>5.89</v>
      </c>
      <c r="F44" s="53">
        <v>2990</v>
      </c>
      <c r="G44" s="54">
        <v>51</v>
      </c>
      <c r="H44" s="55" t="s">
        <v>33</v>
      </c>
      <c r="I44" s="56">
        <v>18.2</v>
      </c>
      <c r="J44" s="53">
        <v>1110</v>
      </c>
      <c r="K44" s="53" t="s">
        <v>34</v>
      </c>
      <c r="L44" s="56" t="s">
        <v>35</v>
      </c>
      <c r="M44" s="56" t="s">
        <v>36</v>
      </c>
      <c r="N44" s="63">
        <v>483</v>
      </c>
      <c r="O44" s="56">
        <v>5.3</v>
      </c>
      <c r="P44" s="56" t="s">
        <v>37</v>
      </c>
      <c r="Q44" s="58">
        <v>30</v>
      </c>
      <c r="R44" s="56">
        <v>18.5</v>
      </c>
      <c r="S44" s="56" t="s">
        <v>39</v>
      </c>
      <c r="T44" s="56" t="s">
        <v>40</v>
      </c>
      <c r="U44" s="56">
        <v>879</v>
      </c>
      <c r="V44" s="87"/>
      <c r="W44" s="65">
        <v>801</v>
      </c>
      <c r="X44" s="53">
        <v>166</v>
      </c>
      <c r="Y44" s="53">
        <v>6.65</v>
      </c>
      <c r="Z44" s="53">
        <v>93.1</v>
      </c>
      <c r="AA44" s="53">
        <v>7.8</v>
      </c>
      <c r="AB44" s="53">
        <v>490</v>
      </c>
      <c r="AC44" s="53">
        <v>83.7</v>
      </c>
    </row>
    <row r="45" spans="1:29">
      <c r="A45" s="11">
        <v>1</v>
      </c>
      <c r="B45" s="12" t="s">
        <v>2</v>
      </c>
      <c r="C45" s="13">
        <v>2</v>
      </c>
      <c r="D45" s="14">
        <v>43900</v>
      </c>
      <c r="E45" s="88">
        <v>5.68</v>
      </c>
      <c r="F45" s="89">
        <v>2510</v>
      </c>
      <c r="G45" s="90"/>
      <c r="H45" s="87"/>
      <c r="I45" s="87"/>
      <c r="J45" s="89"/>
      <c r="K45" s="87"/>
      <c r="L45" s="87"/>
      <c r="M45" s="87"/>
      <c r="N45" s="91" t="s">
        <v>56</v>
      </c>
      <c r="O45" s="87"/>
      <c r="P45" s="87"/>
      <c r="Q45" s="92"/>
      <c r="R45" s="87"/>
      <c r="S45" s="87"/>
      <c r="T45" s="87"/>
      <c r="U45" s="87"/>
      <c r="V45" s="87"/>
      <c r="W45" s="59"/>
      <c r="X45" s="89"/>
      <c r="Y45" s="87"/>
      <c r="Z45" s="87"/>
      <c r="AA45" s="87"/>
      <c r="AB45" s="87"/>
      <c r="AC45" s="87"/>
    </row>
    <row r="46" spans="1:29">
      <c r="A46" s="11">
        <v>1</v>
      </c>
      <c r="B46" s="12" t="s">
        <v>2</v>
      </c>
      <c r="C46" s="13">
        <v>2</v>
      </c>
      <c r="D46" s="14">
        <v>43076</v>
      </c>
      <c r="E46" s="88">
        <v>5.79</v>
      </c>
      <c r="F46" s="89">
        <v>4090</v>
      </c>
      <c r="G46" s="93"/>
      <c r="H46" s="94"/>
      <c r="I46" s="94"/>
      <c r="J46" s="89"/>
      <c r="K46" s="94"/>
      <c r="L46" s="94"/>
      <c r="M46" s="94"/>
      <c r="N46" s="91">
        <v>1000</v>
      </c>
      <c r="O46" s="87"/>
      <c r="P46" s="87"/>
      <c r="Q46" s="95"/>
      <c r="R46" s="87"/>
      <c r="S46" s="87"/>
      <c r="T46" s="94"/>
      <c r="U46" s="87"/>
      <c r="V46" s="87"/>
      <c r="W46" s="59"/>
      <c r="X46" s="89"/>
      <c r="Y46" s="94"/>
      <c r="Z46" s="94"/>
      <c r="AA46" s="87"/>
      <c r="AB46" s="87"/>
      <c r="AC46" s="87"/>
    </row>
    <row r="47" spans="1:29">
      <c r="A47" s="11">
        <v>1</v>
      </c>
      <c r="B47" s="12" t="s">
        <v>2</v>
      </c>
      <c r="C47" s="13">
        <v>2</v>
      </c>
      <c r="D47" s="14">
        <v>42951</v>
      </c>
      <c r="E47" s="88">
        <v>5.8</v>
      </c>
      <c r="F47" s="89">
        <v>6250</v>
      </c>
      <c r="G47" s="93"/>
      <c r="H47" s="94"/>
      <c r="I47" s="94"/>
      <c r="J47" s="89"/>
      <c r="K47" s="94"/>
      <c r="L47" s="94"/>
      <c r="M47" s="94"/>
      <c r="N47" s="91">
        <v>1170</v>
      </c>
      <c r="O47" s="87"/>
      <c r="P47" s="87"/>
      <c r="Q47" s="95"/>
      <c r="R47" s="87"/>
      <c r="S47" s="87"/>
      <c r="T47" s="94"/>
      <c r="U47" s="87"/>
      <c r="V47" s="87">
        <v>7.0000000000000007E-2</v>
      </c>
      <c r="W47" s="59"/>
      <c r="X47" s="89"/>
      <c r="Y47" s="94"/>
      <c r="Z47" s="94"/>
      <c r="AA47" s="87"/>
      <c r="AB47" s="87"/>
      <c r="AC47" s="87"/>
    </row>
    <row r="48" spans="1:29">
      <c r="A48" s="11">
        <v>1</v>
      </c>
      <c r="B48" s="12" t="s">
        <v>2</v>
      </c>
      <c r="C48" s="13">
        <v>2</v>
      </c>
      <c r="D48" s="14">
        <v>42894</v>
      </c>
      <c r="E48" s="96"/>
      <c r="F48" s="97"/>
      <c r="G48" s="98"/>
      <c r="H48" s="99"/>
      <c r="I48" s="99"/>
      <c r="J48" s="61"/>
      <c r="K48" s="12"/>
      <c r="L48" s="12"/>
      <c r="M48" s="12"/>
      <c r="N48" s="91">
        <v>815</v>
      </c>
      <c r="O48" s="12"/>
      <c r="P48" s="12"/>
      <c r="Q48" s="100"/>
      <c r="R48" s="12"/>
      <c r="S48" s="12"/>
      <c r="T48" s="12"/>
      <c r="U48" s="12"/>
      <c r="V48" s="12"/>
      <c r="W48" s="101"/>
      <c r="X48" s="61"/>
      <c r="Y48" s="12"/>
      <c r="Z48" s="12"/>
      <c r="AA48" s="12"/>
      <c r="AB48" s="12"/>
      <c r="AC48" s="12"/>
    </row>
    <row r="49" spans="1:29" ht="22.8">
      <c r="A49" s="11">
        <v>1</v>
      </c>
      <c r="B49" s="12" t="s">
        <v>2</v>
      </c>
      <c r="C49" s="13">
        <v>2</v>
      </c>
      <c r="D49" s="14">
        <v>42618</v>
      </c>
      <c r="E49" s="88">
        <v>6.18</v>
      </c>
      <c r="F49" s="89">
        <v>4890</v>
      </c>
      <c r="G49" s="93">
        <v>140</v>
      </c>
      <c r="H49" s="94" t="s">
        <v>33</v>
      </c>
      <c r="I49" s="94">
        <v>27.6</v>
      </c>
      <c r="J49" s="89">
        <v>1680</v>
      </c>
      <c r="K49" s="94" t="s">
        <v>34</v>
      </c>
      <c r="L49" s="94" t="s">
        <v>35</v>
      </c>
      <c r="M49" s="94" t="s">
        <v>36</v>
      </c>
      <c r="N49" s="91">
        <v>817</v>
      </c>
      <c r="O49" s="87">
        <v>8.3000000000000007</v>
      </c>
      <c r="P49" s="87" t="s">
        <v>37</v>
      </c>
      <c r="Q49" s="95">
        <v>40</v>
      </c>
      <c r="R49" s="87" t="s">
        <v>53</v>
      </c>
      <c r="S49" s="87" t="s">
        <v>39</v>
      </c>
      <c r="T49" s="94" t="s">
        <v>40</v>
      </c>
      <c r="U49" s="94">
        <v>1500</v>
      </c>
      <c r="V49" s="87">
        <v>0.08</v>
      </c>
      <c r="W49" s="59"/>
      <c r="X49" s="89">
        <v>130</v>
      </c>
      <c r="Y49" s="94">
        <v>12.8</v>
      </c>
      <c r="Z49" s="94">
        <v>105</v>
      </c>
      <c r="AA49" s="94">
        <v>4.3</v>
      </c>
      <c r="AB49" s="94">
        <v>842</v>
      </c>
      <c r="AC49" s="94">
        <v>140</v>
      </c>
    </row>
    <row r="50" spans="1:29" ht="22.8">
      <c r="A50" s="11">
        <v>1</v>
      </c>
      <c r="B50" s="12" t="s">
        <v>2</v>
      </c>
      <c r="C50" s="13">
        <v>2</v>
      </c>
      <c r="D50" s="14">
        <v>42579</v>
      </c>
      <c r="E50" s="88">
        <v>6.29</v>
      </c>
      <c r="F50" s="89">
        <v>4510</v>
      </c>
      <c r="G50" s="93">
        <v>33</v>
      </c>
      <c r="H50" s="94" t="s">
        <v>33</v>
      </c>
      <c r="I50" s="94">
        <v>27.4</v>
      </c>
      <c r="J50" s="89">
        <v>1670</v>
      </c>
      <c r="K50" s="94" t="s">
        <v>34</v>
      </c>
      <c r="L50" s="94" t="s">
        <v>35</v>
      </c>
      <c r="M50" s="94" t="s">
        <v>36</v>
      </c>
      <c r="N50" s="91">
        <v>747</v>
      </c>
      <c r="O50" s="87">
        <v>6.7</v>
      </c>
      <c r="P50" s="87" t="s">
        <v>37</v>
      </c>
      <c r="Q50" s="95">
        <v>50</v>
      </c>
      <c r="R50" s="87">
        <v>6</v>
      </c>
      <c r="S50" s="87" t="s">
        <v>39</v>
      </c>
      <c r="T50" s="94" t="s">
        <v>40</v>
      </c>
      <c r="U50" s="94">
        <v>1310</v>
      </c>
      <c r="V50" s="87">
        <v>3.53</v>
      </c>
      <c r="W50" s="59"/>
      <c r="X50" s="89">
        <v>56.9</v>
      </c>
      <c r="Y50" s="94">
        <v>10.7</v>
      </c>
      <c r="Z50" s="94">
        <v>102</v>
      </c>
      <c r="AA50" s="94">
        <v>3.3</v>
      </c>
      <c r="AB50" s="94">
        <v>729</v>
      </c>
      <c r="AC50" s="94">
        <v>127</v>
      </c>
    </row>
    <row r="51" spans="1:29" ht="22.8">
      <c r="A51" s="11">
        <v>1</v>
      </c>
      <c r="B51" s="12" t="s">
        <v>2</v>
      </c>
      <c r="C51" s="13">
        <v>2</v>
      </c>
      <c r="D51" s="14">
        <v>42534</v>
      </c>
      <c r="E51" s="88">
        <v>6.27</v>
      </c>
      <c r="F51" s="89">
        <v>4220</v>
      </c>
      <c r="G51" s="93">
        <v>80</v>
      </c>
      <c r="H51" s="94" t="s">
        <v>33</v>
      </c>
      <c r="I51" s="94">
        <v>25.6</v>
      </c>
      <c r="J51" s="89">
        <v>1560</v>
      </c>
      <c r="K51" s="94" t="s">
        <v>34</v>
      </c>
      <c r="L51" s="94" t="s">
        <v>35</v>
      </c>
      <c r="M51" s="94" t="s">
        <v>36</v>
      </c>
      <c r="N51" s="91">
        <v>676</v>
      </c>
      <c r="O51" s="87">
        <v>6.8</v>
      </c>
      <c r="P51" s="87" t="s">
        <v>37</v>
      </c>
      <c r="Q51" s="95">
        <v>60</v>
      </c>
      <c r="R51" s="87">
        <v>0.05</v>
      </c>
      <c r="S51" s="87">
        <v>0.03</v>
      </c>
      <c r="T51" s="94" t="s">
        <v>40</v>
      </c>
      <c r="U51" s="94">
        <v>1190</v>
      </c>
      <c r="V51" s="87">
        <v>1.21</v>
      </c>
      <c r="W51" s="59"/>
      <c r="X51" s="89">
        <v>85.5</v>
      </c>
      <c r="Y51" s="94">
        <v>10.3</v>
      </c>
      <c r="Z51" s="94">
        <v>98.9</v>
      </c>
      <c r="AA51" s="94">
        <v>4.7</v>
      </c>
      <c r="AB51" s="94">
        <v>673</v>
      </c>
      <c r="AC51" s="94">
        <v>108</v>
      </c>
    </row>
    <row r="52" spans="1:29">
      <c r="A52" s="11">
        <v>1</v>
      </c>
      <c r="B52" s="12" t="s">
        <v>2</v>
      </c>
      <c r="C52" s="13">
        <v>2</v>
      </c>
      <c r="D52" s="14">
        <v>42508</v>
      </c>
      <c r="E52" s="88">
        <v>6.43</v>
      </c>
      <c r="F52" s="89">
        <v>3500</v>
      </c>
      <c r="G52" s="93">
        <v>580</v>
      </c>
      <c r="H52" s="94" t="s">
        <v>33</v>
      </c>
      <c r="I52" s="94">
        <v>26.5</v>
      </c>
      <c r="J52" s="89">
        <v>1620</v>
      </c>
      <c r="K52" s="94" t="s">
        <v>34</v>
      </c>
      <c r="L52" s="94" t="s">
        <v>35</v>
      </c>
      <c r="M52" s="94" t="s">
        <v>35</v>
      </c>
      <c r="N52" s="91">
        <v>550</v>
      </c>
      <c r="O52" s="87">
        <v>7</v>
      </c>
      <c r="P52" s="87" t="s">
        <v>37</v>
      </c>
      <c r="Q52" s="95" t="s">
        <v>41</v>
      </c>
      <c r="R52" s="87" t="s">
        <v>55</v>
      </c>
      <c r="S52" s="87" t="s">
        <v>39</v>
      </c>
      <c r="T52" s="94" t="s">
        <v>42</v>
      </c>
      <c r="U52" s="94">
        <v>1020</v>
      </c>
      <c r="V52" s="87">
        <v>3.29</v>
      </c>
      <c r="W52" s="59"/>
      <c r="X52" s="89">
        <v>49.7</v>
      </c>
      <c r="Y52" s="94">
        <v>8.0399999999999991</v>
      </c>
      <c r="Z52" s="94">
        <v>93.8</v>
      </c>
      <c r="AA52" s="94">
        <v>9.6</v>
      </c>
      <c r="AB52" s="94">
        <v>571</v>
      </c>
      <c r="AC52" s="94">
        <v>97.7</v>
      </c>
    </row>
    <row r="53" spans="1:29" ht="22.8">
      <c r="A53" s="11">
        <v>1</v>
      </c>
      <c r="B53" s="12" t="s">
        <v>2</v>
      </c>
      <c r="C53" s="13">
        <v>2</v>
      </c>
      <c r="D53" s="14">
        <v>42492</v>
      </c>
      <c r="E53" s="88">
        <v>6.49</v>
      </c>
      <c r="F53" s="89">
        <v>3240</v>
      </c>
      <c r="G53" s="93">
        <v>60</v>
      </c>
      <c r="H53" s="94" t="s">
        <v>33</v>
      </c>
      <c r="I53" s="94">
        <v>24.6</v>
      </c>
      <c r="J53" s="89">
        <v>1500</v>
      </c>
      <c r="K53" s="94" t="s">
        <v>34</v>
      </c>
      <c r="L53" s="94" t="s">
        <v>35</v>
      </c>
      <c r="M53" s="94" t="s">
        <v>36</v>
      </c>
      <c r="N53" s="91">
        <v>515</v>
      </c>
      <c r="O53" s="87">
        <v>6</v>
      </c>
      <c r="P53" s="87" t="s">
        <v>37</v>
      </c>
      <c r="Q53" s="95">
        <v>60</v>
      </c>
      <c r="R53" s="87" t="s">
        <v>35</v>
      </c>
      <c r="S53" s="87">
        <v>0.02</v>
      </c>
      <c r="T53" s="94" t="s">
        <v>40</v>
      </c>
      <c r="U53" s="94">
        <v>958</v>
      </c>
      <c r="V53" s="87">
        <v>3.8</v>
      </c>
      <c r="W53" s="59"/>
      <c r="X53" s="89">
        <v>34.9</v>
      </c>
      <c r="Y53" s="94">
        <v>7.22</v>
      </c>
      <c r="Z53" s="94">
        <v>91.5</v>
      </c>
      <c r="AA53" s="94">
        <v>4.3</v>
      </c>
      <c r="AB53" s="94">
        <v>536</v>
      </c>
      <c r="AC53" s="94">
        <v>90</v>
      </c>
    </row>
    <row r="54" spans="1:29" ht="23.4" thickBot="1">
      <c r="A54" s="24">
        <v>1</v>
      </c>
      <c r="B54" s="25" t="s">
        <v>2</v>
      </c>
      <c r="C54" s="26">
        <v>2</v>
      </c>
      <c r="D54" s="27">
        <v>42479</v>
      </c>
      <c r="E54" s="102">
        <v>7.01</v>
      </c>
      <c r="F54" s="103">
        <v>3250</v>
      </c>
      <c r="G54" s="104">
        <v>19</v>
      </c>
      <c r="H54" s="105" t="s">
        <v>33</v>
      </c>
      <c r="I54" s="105">
        <v>18.5</v>
      </c>
      <c r="J54" s="103">
        <v>1130</v>
      </c>
      <c r="K54" s="105" t="s">
        <v>34</v>
      </c>
      <c r="L54" s="105" t="s">
        <v>35</v>
      </c>
      <c r="M54" s="105" t="s">
        <v>36</v>
      </c>
      <c r="N54" s="106">
        <v>538</v>
      </c>
      <c r="O54" s="107">
        <v>6.5</v>
      </c>
      <c r="P54" s="107" t="s">
        <v>37</v>
      </c>
      <c r="Q54" s="108">
        <v>70</v>
      </c>
      <c r="R54" s="107">
        <v>1.2</v>
      </c>
      <c r="S54" s="107">
        <v>0.02</v>
      </c>
      <c r="T54" s="105" t="s">
        <v>40</v>
      </c>
      <c r="U54" s="105">
        <v>901</v>
      </c>
      <c r="V54" s="107">
        <v>3.25</v>
      </c>
      <c r="W54" s="109"/>
      <c r="X54" s="103">
        <v>28</v>
      </c>
      <c r="Y54" s="105">
        <v>6.31</v>
      </c>
      <c r="Z54" s="105">
        <v>93.9</v>
      </c>
      <c r="AA54" s="105">
        <v>2.4</v>
      </c>
      <c r="AB54" s="105">
        <v>504</v>
      </c>
      <c r="AC54" s="105">
        <v>84.9</v>
      </c>
    </row>
    <row r="55" spans="1:29">
      <c r="A55" s="7">
        <v>2</v>
      </c>
      <c r="B55" s="8" t="s">
        <v>2</v>
      </c>
      <c r="C55" s="9">
        <v>3</v>
      </c>
      <c r="D55" s="28">
        <v>45971</v>
      </c>
      <c r="E55" s="44">
        <v>6.22</v>
      </c>
      <c r="F55" s="45">
        <v>3970</v>
      </c>
      <c r="G55" s="46">
        <v>130</v>
      </c>
      <c r="H55" s="47" t="s">
        <v>33</v>
      </c>
      <c r="I55" s="47">
        <v>15.6</v>
      </c>
      <c r="J55" s="45">
        <v>952</v>
      </c>
      <c r="K55" s="48" t="s">
        <v>34</v>
      </c>
      <c r="L55" s="48" t="s">
        <v>35</v>
      </c>
      <c r="M55" s="48" t="s">
        <v>36</v>
      </c>
      <c r="N55" s="49">
        <v>986</v>
      </c>
      <c r="O55" s="48">
        <v>2.1</v>
      </c>
      <c r="P55" s="48" t="s">
        <v>37</v>
      </c>
      <c r="Q55" s="50" t="s">
        <v>38</v>
      </c>
      <c r="R55" s="48">
        <v>4.5</v>
      </c>
      <c r="S55" s="48" t="s">
        <v>39</v>
      </c>
      <c r="T55" s="48" t="s">
        <v>40</v>
      </c>
      <c r="U55" s="48">
        <v>1150</v>
      </c>
      <c r="V55" s="48"/>
      <c r="W55" s="110">
        <v>600</v>
      </c>
      <c r="X55" s="45">
        <v>83.6</v>
      </c>
      <c r="Y55" s="48">
        <v>11.4</v>
      </c>
      <c r="Z55" s="48">
        <v>117</v>
      </c>
      <c r="AA55" s="48">
        <v>5.7</v>
      </c>
      <c r="AB55" s="48">
        <v>681</v>
      </c>
      <c r="AC55" s="48">
        <v>84.3</v>
      </c>
    </row>
    <row r="56" spans="1:29">
      <c r="A56" s="11">
        <v>2</v>
      </c>
      <c r="B56" s="12" t="s">
        <v>2</v>
      </c>
      <c r="C56" s="13">
        <v>3</v>
      </c>
      <c r="D56" s="29">
        <v>45782</v>
      </c>
      <c r="E56" s="52">
        <v>5.99</v>
      </c>
      <c r="F56" s="53">
        <v>4700</v>
      </c>
      <c r="G56" s="54">
        <v>17.7</v>
      </c>
      <c r="H56" s="55" t="s">
        <v>33</v>
      </c>
      <c r="I56" s="55">
        <v>18.399999999999999</v>
      </c>
      <c r="J56" s="53">
        <v>1120</v>
      </c>
      <c r="K56" s="56" t="s">
        <v>34</v>
      </c>
      <c r="L56" s="56" t="s">
        <v>35</v>
      </c>
      <c r="M56" s="56" t="s">
        <v>35</v>
      </c>
      <c r="N56" s="57">
        <v>1210</v>
      </c>
      <c r="O56" s="56">
        <v>2</v>
      </c>
      <c r="P56" s="56" t="s">
        <v>37</v>
      </c>
      <c r="Q56" s="58" t="s">
        <v>41</v>
      </c>
      <c r="R56" s="56">
        <v>5.6</v>
      </c>
      <c r="S56" s="56" t="s">
        <v>39</v>
      </c>
      <c r="T56" s="56" t="s">
        <v>42</v>
      </c>
      <c r="U56" s="56">
        <v>1400</v>
      </c>
      <c r="V56" s="56"/>
      <c r="W56" s="65">
        <v>85.9</v>
      </c>
      <c r="X56" s="53">
        <v>104</v>
      </c>
      <c r="Y56" s="56">
        <v>16.399999999999999</v>
      </c>
      <c r="Z56" s="56">
        <v>126</v>
      </c>
      <c r="AA56" s="56">
        <v>6.7</v>
      </c>
      <c r="AB56" s="56">
        <v>833</v>
      </c>
      <c r="AC56" s="56">
        <v>101</v>
      </c>
    </row>
    <row r="57" spans="1:29">
      <c r="A57" s="11">
        <v>2</v>
      </c>
      <c r="B57" s="12" t="s">
        <v>2</v>
      </c>
      <c r="C57" s="13">
        <v>3</v>
      </c>
      <c r="D57" s="29">
        <v>45706</v>
      </c>
      <c r="E57" s="88"/>
      <c r="F57" s="89"/>
      <c r="G57" s="93"/>
      <c r="H57" s="94"/>
      <c r="I57" s="94"/>
      <c r="J57" s="89"/>
      <c r="K57" s="94"/>
      <c r="L57" s="94"/>
      <c r="M57" s="94"/>
      <c r="N57" s="91">
        <v>1110</v>
      </c>
      <c r="O57" s="87"/>
      <c r="P57" s="87"/>
      <c r="Q57" s="95"/>
      <c r="R57" s="87"/>
      <c r="S57" s="87"/>
      <c r="T57" s="94"/>
      <c r="U57" s="94"/>
      <c r="V57" s="87"/>
      <c r="W57" s="65">
        <v>679</v>
      </c>
      <c r="X57" s="89"/>
      <c r="Y57" s="94"/>
      <c r="Z57" s="94"/>
      <c r="AA57" s="94"/>
      <c r="AB57" s="94"/>
      <c r="AC57" s="94"/>
    </row>
    <row r="58" spans="1:29">
      <c r="A58" s="11">
        <v>2</v>
      </c>
      <c r="B58" s="12" t="s">
        <v>2</v>
      </c>
      <c r="C58" s="13">
        <v>3</v>
      </c>
      <c r="D58" s="29">
        <v>45644</v>
      </c>
      <c r="E58" s="52">
        <v>6.54</v>
      </c>
      <c r="F58" s="53">
        <v>4540</v>
      </c>
      <c r="G58" s="54">
        <v>145</v>
      </c>
      <c r="H58" s="55" t="s">
        <v>33</v>
      </c>
      <c r="I58" s="55">
        <v>14.3</v>
      </c>
      <c r="J58" s="53">
        <v>872</v>
      </c>
      <c r="K58" s="56" t="s">
        <v>34</v>
      </c>
      <c r="L58" s="56" t="s">
        <v>35</v>
      </c>
      <c r="M58" s="56" t="s">
        <v>35</v>
      </c>
      <c r="N58" s="63">
        <v>1180</v>
      </c>
      <c r="O58" s="56" t="s">
        <v>35</v>
      </c>
      <c r="P58" s="56" t="s">
        <v>37</v>
      </c>
      <c r="Q58" s="58" t="s">
        <v>41</v>
      </c>
      <c r="R58" s="56" t="s">
        <v>35</v>
      </c>
      <c r="S58" s="56" t="s">
        <v>39</v>
      </c>
      <c r="T58" s="56" t="s">
        <v>42</v>
      </c>
      <c r="U58" s="56">
        <v>1480</v>
      </c>
      <c r="V58" s="56"/>
      <c r="W58" s="65">
        <v>744</v>
      </c>
      <c r="X58" s="53">
        <v>12.9</v>
      </c>
      <c r="Y58" s="56">
        <v>16.600000000000001</v>
      </c>
      <c r="Z58" s="56">
        <v>120</v>
      </c>
      <c r="AA58" s="56">
        <v>6.4</v>
      </c>
      <c r="AB58" s="56">
        <v>889</v>
      </c>
      <c r="AC58" s="56">
        <v>101</v>
      </c>
    </row>
    <row r="59" spans="1:29">
      <c r="A59" s="11">
        <v>2</v>
      </c>
      <c r="B59" s="12" t="s">
        <v>2</v>
      </c>
      <c r="C59" s="13">
        <v>3</v>
      </c>
      <c r="D59" s="29">
        <v>45244</v>
      </c>
      <c r="E59" s="52">
        <v>6.16</v>
      </c>
      <c r="F59" s="53">
        <v>4620</v>
      </c>
      <c r="G59" s="54">
        <v>60</v>
      </c>
      <c r="H59" s="55" t="s">
        <v>33</v>
      </c>
      <c r="I59" s="55">
        <v>20.399999999999999</v>
      </c>
      <c r="J59" s="53">
        <v>1240</v>
      </c>
      <c r="K59" s="56" t="s">
        <v>34</v>
      </c>
      <c r="L59" s="56" t="s">
        <v>35</v>
      </c>
      <c r="M59" s="56" t="s">
        <v>35</v>
      </c>
      <c r="N59" s="63">
        <v>1460</v>
      </c>
      <c r="O59" s="56">
        <v>2</v>
      </c>
      <c r="P59" s="56" t="s">
        <v>37</v>
      </c>
      <c r="Q59" s="58" t="s">
        <v>41</v>
      </c>
      <c r="R59" s="56">
        <v>0.66</v>
      </c>
      <c r="S59" s="56">
        <v>0.01</v>
      </c>
      <c r="T59" s="56" t="s">
        <v>42</v>
      </c>
      <c r="U59" s="56">
        <v>1570</v>
      </c>
      <c r="V59" s="56"/>
      <c r="W59" s="65">
        <v>866</v>
      </c>
      <c r="X59" s="53">
        <v>133</v>
      </c>
      <c r="Y59" s="56">
        <v>18.600000000000001</v>
      </c>
      <c r="Z59" s="56">
        <v>132</v>
      </c>
      <c r="AA59" s="56">
        <v>7.1</v>
      </c>
      <c r="AB59" s="56">
        <v>941</v>
      </c>
      <c r="AC59" s="56">
        <v>110</v>
      </c>
    </row>
    <row r="60" spans="1:29">
      <c r="A60" s="11">
        <v>2</v>
      </c>
      <c r="B60" s="12" t="s">
        <v>2</v>
      </c>
      <c r="C60" s="13">
        <v>3</v>
      </c>
      <c r="D60" s="29">
        <v>45006</v>
      </c>
      <c r="E60" s="52">
        <v>5.92</v>
      </c>
      <c r="F60" s="53">
        <v>3450</v>
      </c>
      <c r="G60" s="54">
        <v>54</v>
      </c>
      <c r="H60" s="55" t="s">
        <v>33</v>
      </c>
      <c r="I60" s="55">
        <v>15.5</v>
      </c>
      <c r="J60" s="53">
        <v>946</v>
      </c>
      <c r="K60" s="56" t="s">
        <v>34</v>
      </c>
      <c r="L60" s="56" t="s">
        <v>35</v>
      </c>
      <c r="M60" s="56" t="s">
        <v>35</v>
      </c>
      <c r="N60" s="63">
        <v>740</v>
      </c>
      <c r="O60" s="56" t="s">
        <v>35</v>
      </c>
      <c r="P60" s="56" t="s">
        <v>37</v>
      </c>
      <c r="Q60" s="58" t="s">
        <v>41</v>
      </c>
      <c r="R60" s="56">
        <v>0.5</v>
      </c>
      <c r="S60" s="56" t="s">
        <v>39</v>
      </c>
      <c r="T60" s="56" t="s">
        <v>42</v>
      </c>
      <c r="U60" s="56">
        <v>972</v>
      </c>
      <c r="V60" s="56"/>
      <c r="W60" s="65">
        <v>341</v>
      </c>
      <c r="X60" s="53">
        <v>123</v>
      </c>
      <c r="Y60" s="56">
        <v>6.42</v>
      </c>
      <c r="Z60" s="56">
        <v>115</v>
      </c>
      <c r="AA60" s="56">
        <v>7.4</v>
      </c>
      <c r="AB60" s="56">
        <v>566</v>
      </c>
      <c r="AC60" s="56">
        <v>78.099999999999994</v>
      </c>
    </row>
    <row r="61" spans="1:29">
      <c r="A61" s="11">
        <v>2</v>
      </c>
      <c r="B61" s="12" t="s">
        <v>2</v>
      </c>
      <c r="C61" s="13">
        <v>3</v>
      </c>
      <c r="D61" s="29">
        <v>44978</v>
      </c>
      <c r="E61" s="52">
        <v>5.49</v>
      </c>
      <c r="F61" s="53">
        <v>3470</v>
      </c>
      <c r="G61" s="54">
        <v>280</v>
      </c>
      <c r="H61" s="55" t="s">
        <v>33</v>
      </c>
      <c r="I61" s="55">
        <v>13.3</v>
      </c>
      <c r="J61" s="53">
        <v>811</v>
      </c>
      <c r="K61" s="56" t="s">
        <v>34</v>
      </c>
      <c r="L61" s="56" t="s">
        <v>35</v>
      </c>
      <c r="M61" s="56" t="s">
        <v>35</v>
      </c>
      <c r="N61" s="63">
        <v>810</v>
      </c>
      <c r="O61" s="56">
        <v>2</v>
      </c>
      <c r="P61" s="56">
        <v>0.06</v>
      </c>
      <c r="Q61" s="58" t="s">
        <v>41</v>
      </c>
      <c r="R61" s="56" t="s">
        <v>46</v>
      </c>
      <c r="S61" s="56">
        <v>0.03</v>
      </c>
      <c r="T61" s="56" t="s">
        <v>42</v>
      </c>
      <c r="U61" s="56">
        <v>955</v>
      </c>
      <c r="V61" s="56"/>
      <c r="W61" s="65">
        <v>368</v>
      </c>
      <c r="X61" s="53">
        <v>120</v>
      </c>
      <c r="Y61" s="56">
        <v>6.03</v>
      </c>
      <c r="Z61" s="56">
        <v>121</v>
      </c>
      <c r="AA61" s="56">
        <v>7.9</v>
      </c>
      <c r="AB61" s="56">
        <v>555</v>
      </c>
      <c r="AC61" s="56">
        <v>77.400000000000006</v>
      </c>
    </row>
    <row r="62" spans="1:29">
      <c r="A62" s="11">
        <v>2</v>
      </c>
      <c r="B62" s="12" t="s">
        <v>2</v>
      </c>
      <c r="C62" s="13">
        <v>3</v>
      </c>
      <c r="D62" s="29">
        <v>44950</v>
      </c>
      <c r="E62" s="52">
        <v>5.76</v>
      </c>
      <c r="F62" s="53">
        <v>3520</v>
      </c>
      <c r="G62" s="54">
        <v>230</v>
      </c>
      <c r="H62" s="55" t="s">
        <v>33</v>
      </c>
      <c r="I62" s="55">
        <v>14.4</v>
      </c>
      <c r="J62" s="53">
        <v>878</v>
      </c>
      <c r="K62" s="56" t="s">
        <v>34</v>
      </c>
      <c r="L62" s="56" t="s">
        <v>35</v>
      </c>
      <c r="M62" s="56" t="s">
        <v>35</v>
      </c>
      <c r="N62" s="63">
        <v>770</v>
      </c>
      <c r="O62" s="56">
        <v>2</v>
      </c>
      <c r="P62" s="56">
        <v>1.23</v>
      </c>
      <c r="Q62" s="58" t="s">
        <v>41</v>
      </c>
      <c r="R62" s="56" t="s">
        <v>55</v>
      </c>
      <c r="S62" s="56" t="s">
        <v>39</v>
      </c>
      <c r="T62" s="56" t="s">
        <v>42</v>
      </c>
      <c r="U62" s="56">
        <v>959</v>
      </c>
      <c r="V62" s="56"/>
      <c r="W62" s="65">
        <v>314</v>
      </c>
      <c r="X62" s="53">
        <v>140</v>
      </c>
      <c r="Y62" s="56">
        <v>6.31</v>
      </c>
      <c r="Z62" s="56">
        <v>123</v>
      </c>
      <c r="AA62" s="56">
        <v>7.9</v>
      </c>
      <c r="AB62" s="56">
        <v>558</v>
      </c>
      <c r="AC62" s="56">
        <v>77.400000000000006</v>
      </c>
    </row>
    <row r="63" spans="1:29">
      <c r="A63" s="11">
        <v>2</v>
      </c>
      <c r="B63" s="12" t="s">
        <v>2</v>
      </c>
      <c r="C63" s="13">
        <v>3</v>
      </c>
      <c r="D63" s="29">
        <v>44909</v>
      </c>
      <c r="E63" s="52">
        <v>5.71</v>
      </c>
      <c r="F63" s="53">
        <v>3220</v>
      </c>
      <c r="G63" s="54">
        <v>170</v>
      </c>
      <c r="H63" s="55" t="s">
        <v>33</v>
      </c>
      <c r="I63" s="55">
        <v>16</v>
      </c>
      <c r="J63" s="53">
        <v>976</v>
      </c>
      <c r="K63" s="56" t="s">
        <v>34</v>
      </c>
      <c r="L63" s="56" t="s">
        <v>35</v>
      </c>
      <c r="M63" s="56" t="s">
        <v>35</v>
      </c>
      <c r="N63" s="63">
        <v>760</v>
      </c>
      <c r="O63" s="56" t="s">
        <v>35</v>
      </c>
      <c r="P63" s="56" t="s">
        <v>37</v>
      </c>
      <c r="Q63" s="58" t="s">
        <v>41</v>
      </c>
      <c r="R63" s="56" t="s">
        <v>35</v>
      </c>
      <c r="S63" s="56" t="s">
        <v>39</v>
      </c>
      <c r="T63" s="56" t="s">
        <v>42</v>
      </c>
      <c r="U63" s="56">
        <v>1010</v>
      </c>
      <c r="V63" s="56"/>
      <c r="W63" s="65">
        <v>357</v>
      </c>
      <c r="X63" s="53">
        <v>152</v>
      </c>
      <c r="Y63" s="56">
        <v>6.93</v>
      </c>
      <c r="Z63" s="56">
        <v>122</v>
      </c>
      <c r="AA63" s="56">
        <v>7.5</v>
      </c>
      <c r="AB63" s="56">
        <v>596</v>
      </c>
      <c r="AC63" s="56">
        <v>78.400000000000006</v>
      </c>
    </row>
    <row r="64" spans="1:29">
      <c r="A64" s="11">
        <v>2</v>
      </c>
      <c r="B64" s="12" t="s">
        <v>2</v>
      </c>
      <c r="C64" s="13">
        <v>3</v>
      </c>
      <c r="D64" s="29">
        <v>44880</v>
      </c>
      <c r="E64" s="52">
        <v>5.52</v>
      </c>
      <c r="F64" s="53">
        <v>3690</v>
      </c>
      <c r="G64" s="54">
        <v>69</v>
      </c>
      <c r="H64" s="55" t="s">
        <v>33</v>
      </c>
      <c r="I64" s="55">
        <v>16.399999999999999</v>
      </c>
      <c r="J64" s="53">
        <v>1000</v>
      </c>
      <c r="K64" s="56" t="s">
        <v>34</v>
      </c>
      <c r="L64" s="56" t="s">
        <v>35</v>
      </c>
      <c r="M64" s="56" t="s">
        <v>35</v>
      </c>
      <c r="N64" s="63">
        <v>890</v>
      </c>
      <c r="O64" s="56" t="s">
        <v>35</v>
      </c>
      <c r="P64" s="56" t="s">
        <v>37</v>
      </c>
      <c r="Q64" s="58" t="s">
        <v>41</v>
      </c>
      <c r="R64" s="56" t="s">
        <v>35</v>
      </c>
      <c r="S64" s="56" t="s">
        <v>39</v>
      </c>
      <c r="T64" s="56" t="s">
        <v>42</v>
      </c>
      <c r="U64" s="56">
        <v>1150</v>
      </c>
      <c r="V64" s="56"/>
      <c r="W64" s="65">
        <v>244</v>
      </c>
      <c r="X64" s="53">
        <v>174</v>
      </c>
      <c r="Y64" s="56">
        <v>8.1300000000000008</v>
      </c>
      <c r="Z64" s="56">
        <v>125</v>
      </c>
      <c r="AA64" s="56">
        <v>9.1</v>
      </c>
      <c r="AB64" s="56">
        <v>686</v>
      </c>
      <c r="AC64" s="56">
        <v>83.1</v>
      </c>
    </row>
    <row r="65" spans="1:29">
      <c r="A65" s="11">
        <v>2</v>
      </c>
      <c r="B65" s="12" t="s">
        <v>2</v>
      </c>
      <c r="C65" s="13">
        <v>3</v>
      </c>
      <c r="D65" s="29">
        <v>44852</v>
      </c>
      <c r="E65" s="52">
        <v>5.66</v>
      </c>
      <c r="F65" s="53">
        <v>4160</v>
      </c>
      <c r="G65" s="54">
        <v>180</v>
      </c>
      <c r="H65" s="55" t="s">
        <v>33</v>
      </c>
      <c r="I65" s="55">
        <v>15.7</v>
      </c>
      <c r="J65" s="53">
        <v>958</v>
      </c>
      <c r="K65" s="56" t="s">
        <v>34</v>
      </c>
      <c r="L65" s="56" t="s">
        <v>35</v>
      </c>
      <c r="M65" s="56" t="s">
        <v>35</v>
      </c>
      <c r="N65" s="63">
        <v>960</v>
      </c>
      <c r="O65" s="56">
        <v>4</v>
      </c>
      <c r="P65" s="56" t="s">
        <v>37</v>
      </c>
      <c r="Q65" s="58" t="s">
        <v>41</v>
      </c>
      <c r="R65" s="56" t="s">
        <v>46</v>
      </c>
      <c r="S65" s="56">
        <v>0.02</v>
      </c>
      <c r="T65" s="56" t="s">
        <v>42</v>
      </c>
      <c r="U65" s="56">
        <v>1140</v>
      </c>
      <c r="V65" s="56"/>
      <c r="W65" s="65">
        <v>472</v>
      </c>
      <c r="X65" s="53">
        <v>183</v>
      </c>
      <c r="Y65" s="56">
        <v>8.8699999999999992</v>
      </c>
      <c r="Z65" s="56">
        <v>127</v>
      </c>
      <c r="AA65" s="56">
        <v>7.8</v>
      </c>
      <c r="AB65" s="56">
        <v>674</v>
      </c>
      <c r="AC65" s="56">
        <v>85.1</v>
      </c>
    </row>
    <row r="66" spans="1:29">
      <c r="A66" s="11">
        <v>2</v>
      </c>
      <c r="B66" s="12" t="s">
        <v>2</v>
      </c>
      <c r="C66" s="13">
        <v>3</v>
      </c>
      <c r="D66" s="29">
        <v>44613</v>
      </c>
      <c r="E66" s="52">
        <v>6.17</v>
      </c>
      <c r="F66" s="53">
        <v>4240</v>
      </c>
      <c r="G66" s="54">
        <v>34</v>
      </c>
      <c r="H66" s="55" t="s">
        <v>33</v>
      </c>
      <c r="I66" s="55">
        <v>16.2</v>
      </c>
      <c r="J66" s="53">
        <v>988</v>
      </c>
      <c r="K66" s="56" t="s">
        <v>34</v>
      </c>
      <c r="L66" s="56" t="s">
        <v>35</v>
      </c>
      <c r="M66" s="56" t="s">
        <v>35</v>
      </c>
      <c r="N66" s="63">
        <v>910</v>
      </c>
      <c r="O66" s="56">
        <v>4</v>
      </c>
      <c r="P66" s="56" t="s">
        <v>37</v>
      </c>
      <c r="Q66" s="58" t="s">
        <v>41</v>
      </c>
      <c r="R66" s="56">
        <v>6</v>
      </c>
      <c r="S66" s="56" t="s">
        <v>39</v>
      </c>
      <c r="T66" s="56" t="s">
        <v>42</v>
      </c>
      <c r="U66" s="56">
        <v>1040</v>
      </c>
      <c r="V66" s="56"/>
      <c r="W66" s="65">
        <v>212</v>
      </c>
      <c r="X66" s="53">
        <v>174</v>
      </c>
      <c r="Y66" s="56">
        <v>7.26</v>
      </c>
      <c r="Z66" s="56">
        <v>125</v>
      </c>
      <c r="AA66" s="56">
        <v>6.2</v>
      </c>
      <c r="AB66" s="56">
        <v>605</v>
      </c>
      <c r="AC66" s="56">
        <v>84.6</v>
      </c>
    </row>
    <row r="67" spans="1:29">
      <c r="A67" s="11">
        <v>2</v>
      </c>
      <c r="B67" s="12" t="s">
        <v>2</v>
      </c>
      <c r="C67" s="13">
        <v>3</v>
      </c>
      <c r="D67" s="29">
        <v>44586</v>
      </c>
      <c r="E67" s="52">
        <v>5.74</v>
      </c>
      <c r="F67" s="53">
        <v>4050</v>
      </c>
      <c r="G67" s="54">
        <v>71</v>
      </c>
      <c r="H67" s="55" t="s">
        <v>33</v>
      </c>
      <c r="I67" s="55">
        <v>16.7</v>
      </c>
      <c r="J67" s="53">
        <v>1020</v>
      </c>
      <c r="K67" s="56" t="s">
        <v>34</v>
      </c>
      <c r="L67" s="56" t="s">
        <v>35</v>
      </c>
      <c r="M67" s="56" t="s">
        <v>35</v>
      </c>
      <c r="N67" s="63">
        <v>900</v>
      </c>
      <c r="O67" s="56" t="s">
        <v>35</v>
      </c>
      <c r="P67" s="56" t="s">
        <v>37</v>
      </c>
      <c r="Q67" s="58" t="s">
        <v>41</v>
      </c>
      <c r="R67" s="56">
        <v>4</v>
      </c>
      <c r="S67" s="56" t="s">
        <v>39</v>
      </c>
      <c r="T67" s="56" t="s">
        <v>42</v>
      </c>
      <c r="U67" s="56">
        <v>838</v>
      </c>
      <c r="V67" s="56"/>
      <c r="W67" s="65">
        <v>431</v>
      </c>
      <c r="X67" s="53">
        <v>202</v>
      </c>
      <c r="Y67" s="56">
        <v>8.66</v>
      </c>
      <c r="Z67" s="56">
        <v>134</v>
      </c>
      <c r="AA67" s="56">
        <v>9.9</v>
      </c>
      <c r="AB67" s="56">
        <v>673</v>
      </c>
      <c r="AC67" s="56">
        <v>90.8</v>
      </c>
    </row>
    <row r="68" spans="1:29">
      <c r="A68" s="11">
        <v>2</v>
      </c>
      <c r="B68" s="12" t="s">
        <v>2</v>
      </c>
      <c r="C68" s="13">
        <v>3</v>
      </c>
      <c r="D68" s="29">
        <v>44543</v>
      </c>
      <c r="E68" s="52">
        <v>6.23</v>
      </c>
      <c r="F68" s="53">
        <v>4010</v>
      </c>
      <c r="G68" s="54">
        <v>62</v>
      </c>
      <c r="H68" s="55" t="s">
        <v>33</v>
      </c>
      <c r="I68" s="55">
        <v>21.1</v>
      </c>
      <c r="J68" s="53">
        <v>1290</v>
      </c>
      <c r="K68" s="56" t="s">
        <v>34</v>
      </c>
      <c r="L68" s="56" t="s">
        <v>35</v>
      </c>
      <c r="M68" s="56" t="s">
        <v>35</v>
      </c>
      <c r="N68" s="63">
        <v>930</v>
      </c>
      <c r="O68" s="56">
        <v>3</v>
      </c>
      <c r="P68" s="56" t="s">
        <v>37</v>
      </c>
      <c r="Q68" s="58" t="s">
        <v>41</v>
      </c>
      <c r="R68" s="56">
        <v>4.8</v>
      </c>
      <c r="S68" s="56" t="s">
        <v>39</v>
      </c>
      <c r="T68" s="56" t="s">
        <v>42</v>
      </c>
      <c r="U68" s="56">
        <v>1100</v>
      </c>
      <c r="V68" s="56"/>
      <c r="W68" s="65">
        <v>473</v>
      </c>
      <c r="X68" s="53">
        <v>200</v>
      </c>
      <c r="Y68" s="56">
        <v>8.89</v>
      </c>
      <c r="Z68" s="56">
        <v>129</v>
      </c>
      <c r="AA68" s="56">
        <v>6.4</v>
      </c>
      <c r="AB68" s="56">
        <v>640</v>
      </c>
      <c r="AC68" s="56">
        <v>89.8</v>
      </c>
    </row>
    <row r="69" spans="1:29">
      <c r="A69" s="11">
        <v>2</v>
      </c>
      <c r="B69" s="12" t="s">
        <v>2</v>
      </c>
      <c r="C69" s="13">
        <v>3</v>
      </c>
      <c r="D69" s="29">
        <v>44515</v>
      </c>
      <c r="E69" s="52">
        <v>6.26</v>
      </c>
      <c r="F69" s="53">
        <v>5290</v>
      </c>
      <c r="G69" s="54">
        <v>46</v>
      </c>
      <c r="H69" s="55" t="s">
        <v>33</v>
      </c>
      <c r="I69" s="55">
        <v>19.5</v>
      </c>
      <c r="J69" s="53">
        <v>1190</v>
      </c>
      <c r="K69" s="56" t="s">
        <v>34</v>
      </c>
      <c r="L69" s="56" t="s">
        <v>35</v>
      </c>
      <c r="M69" s="56" t="s">
        <v>35</v>
      </c>
      <c r="N69" s="63">
        <v>1120</v>
      </c>
      <c r="O69" s="56">
        <v>5</v>
      </c>
      <c r="P69" s="56" t="s">
        <v>37</v>
      </c>
      <c r="Q69" s="58" t="s">
        <v>41</v>
      </c>
      <c r="R69" s="56">
        <v>5.8</v>
      </c>
      <c r="S69" s="56" t="s">
        <v>39</v>
      </c>
      <c r="T69" s="56" t="s">
        <v>42</v>
      </c>
      <c r="U69" s="56">
        <v>1110</v>
      </c>
      <c r="V69" s="56"/>
      <c r="W69" s="65">
        <v>471</v>
      </c>
      <c r="X69" s="53">
        <v>209</v>
      </c>
      <c r="Y69" s="56">
        <v>9.8699999999999992</v>
      </c>
      <c r="Z69" s="56">
        <v>130</v>
      </c>
      <c r="AA69" s="56">
        <v>7.4</v>
      </c>
      <c r="AB69" s="56">
        <v>650</v>
      </c>
      <c r="AC69" s="56">
        <v>88.9</v>
      </c>
    </row>
    <row r="70" spans="1:29">
      <c r="A70" s="11">
        <v>2</v>
      </c>
      <c r="B70" s="12" t="s">
        <v>2</v>
      </c>
      <c r="C70" s="13">
        <v>3</v>
      </c>
      <c r="D70" s="29">
        <v>44489</v>
      </c>
      <c r="E70" s="52">
        <v>6.31</v>
      </c>
      <c r="F70" s="53">
        <v>4390</v>
      </c>
      <c r="G70" s="54">
        <v>43</v>
      </c>
      <c r="H70" s="55" t="s">
        <v>33</v>
      </c>
      <c r="I70" s="55">
        <v>19.8</v>
      </c>
      <c r="J70" s="53">
        <v>1210</v>
      </c>
      <c r="K70" s="56" t="s">
        <v>34</v>
      </c>
      <c r="L70" s="56" t="s">
        <v>35</v>
      </c>
      <c r="M70" s="56" t="s">
        <v>35</v>
      </c>
      <c r="N70" s="63">
        <v>850</v>
      </c>
      <c r="O70" s="56">
        <v>4</v>
      </c>
      <c r="P70" s="56" t="s">
        <v>37</v>
      </c>
      <c r="Q70" s="58" t="s">
        <v>41</v>
      </c>
      <c r="R70" s="56">
        <v>8.1999999999999993</v>
      </c>
      <c r="S70" s="56" t="s">
        <v>39</v>
      </c>
      <c r="T70" s="56" t="s">
        <v>42</v>
      </c>
      <c r="U70" s="56">
        <v>1170</v>
      </c>
      <c r="V70" s="56"/>
      <c r="W70" s="65">
        <v>685</v>
      </c>
      <c r="X70" s="53">
        <v>211</v>
      </c>
      <c r="Y70" s="56">
        <v>10.8</v>
      </c>
      <c r="Z70" s="56">
        <v>131</v>
      </c>
      <c r="AA70" s="56">
        <v>10</v>
      </c>
      <c r="AB70" s="56">
        <v>683</v>
      </c>
      <c r="AC70" s="56">
        <v>91.9</v>
      </c>
    </row>
    <row r="71" spans="1:29">
      <c r="A71" s="11">
        <v>2</v>
      </c>
      <c r="B71" s="12" t="s">
        <v>2</v>
      </c>
      <c r="C71" s="13">
        <v>3</v>
      </c>
      <c r="D71" s="29">
        <v>44466</v>
      </c>
      <c r="E71" s="52">
        <v>6.03</v>
      </c>
      <c r="F71" s="53">
        <v>4890</v>
      </c>
      <c r="G71" s="54">
        <v>69</v>
      </c>
      <c r="H71" s="55" t="s">
        <v>33</v>
      </c>
      <c r="I71" s="55">
        <v>20.2</v>
      </c>
      <c r="J71" s="53">
        <v>1230</v>
      </c>
      <c r="K71" s="56" t="s">
        <v>34</v>
      </c>
      <c r="L71" s="56" t="s">
        <v>35</v>
      </c>
      <c r="M71" s="56" t="s">
        <v>35</v>
      </c>
      <c r="N71" s="63">
        <v>980</v>
      </c>
      <c r="O71" s="56" t="s">
        <v>35</v>
      </c>
      <c r="P71" s="56" t="s">
        <v>37</v>
      </c>
      <c r="Q71" s="58" t="s">
        <v>41</v>
      </c>
      <c r="R71" s="56">
        <v>13</v>
      </c>
      <c r="S71" s="56" t="s">
        <v>39</v>
      </c>
      <c r="T71" s="56" t="s">
        <v>42</v>
      </c>
      <c r="U71" s="56">
        <v>1210</v>
      </c>
      <c r="V71" s="56"/>
      <c r="W71" s="65">
        <v>576</v>
      </c>
      <c r="X71" s="53">
        <v>231</v>
      </c>
      <c r="Y71" s="56">
        <v>12.1</v>
      </c>
      <c r="Z71" s="56">
        <v>127</v>
      </c>
      <c r="AA71" s="56">
        <v>10.4</v>
      </c>
      <c r="AB71" s="56">
        <v>717</v>
      </c>
      <c r="AC71" s="56">
        <v>91.5</v>
      </c>
    </row>
    <row r="72" spans="1:29">
      <c r="A72" s="11">
        <v>2</v>
      </c>
      <c r="B72" s="12" t="s">
        <v>2</v>
      </c>
      <c r="C72" s="13">
        <v>3</v>
      </c>
      <c r="D72" s="29">
        <v>44431</v>
      </c>
      <c r="E72" s="52">
        <v>6.2</v>
      </c>
      <c r="F72" s="53">
        <v>4270</v>
      </c>
      <c r="G72" s="54">
        <v>73</v>
      </c>
      <c r="H72" s="55" t="s">
        <v>33</v>
      </c>
      <c r="I72" s="55">
        <v>36.6</v>
      </c>
      <c r="J72" s="53">
        <v>2230</v>
      </c>
      <c r="K72" s="56" t="s">
        <v>34</v>
      </c>
      <c r="L72" s="56" t="s">
        <v>35</v>
      </c>
      <c r="M72" s="56" t="s">
        <v>35</v>
      </c>
      <c r="N72" s="63">
        <v>680</v>
      </c>
      <c r="O72" s="56">
        <v>8</v>
      </c>
      <c r="P72" s="56" t="s">
        <v>48</v>
      </c>
      <c r="Q72" s="58" t="s">
        <v>41</v>
      </c>
      <c r="R72" s="56">
        <v>34</v>
      </c>
      <c r="S72" s="56" t="s">
        <v>33</v>
      </c>
      <c r="T72" s="56" t="s">
        <v>42</v>
      </c>
      <c r="U72" s="56">
        <v>1150</v>
      </c>
      <c r="V72" s="56"/>
      <c r="W72" s="65">
        <v>868</v>
      </c>
      <c r="X72" s="53">
        <v>248</v>
      </c>
      <c r="Y72" s="56">
        <v>11.2</v>
      </c>
      <c r="Z72" s="56">
        <v>122</v>
      </c>
      <c r="AA72" s="56">
        <v>10.199999999999999</v>
      </c>
      <c r="AB72" s="56">
        <v>666</v>
      </c>
      <c r="AC72" s="56">
        <v>96.3</v>
      </c>
    </row>
    <row r="73" spans="1:29">
      <c r="A73" s="11">
        <v>2</v>
      </c>
      <c r="B73" s="12" t="s">
        <v>2</v>
      </c>
      <c r="C73" s="13">
        <v>3</v>
      </c>
      <c r="D73" s="29">
        <v>44410</v>
      </c>
      <c r="E73" s="52">
        <v>5.93</v>
      </c>
      <c r="F73" s="53">
        <v>4630</v>
      </c>
      <c r="G73" s="54">
        <v>71</v>
      </c>
      <c r="H73" s="55" t="s">
        <v>33</v>
      </c>
      <c r="I73" s="55">
        <v>21.4</v>
      </c>
      <c r="J73" s="53">
        <v>1310</v>
      </c>
      <c r="K73" s="56" t="s">
        <v>34</v>
      </c>
      <c r="L73" s="56" t="s">
        <v>35</v>
      </c>
      <c r="M73" s="56" t="s">
        <v>36</v>
      </c>
      <c r="N73" s="63">
        <v>751</v>
      </c>
      <c r="O73" s="56">
        <v>2.1</v>
      </c>
      <c r="P73" s="56" t="s">
        <v>37</v>
      </c>
      <c r="Q73" s="58" t="s">
        <v>38</v>
      </c>
      <c r="R73" s="56">
        <v>24</v>
      </c>
      <c r="S73" s="56" t="s">
        <v>39</v>
      </c>
      <c r="T73" s="56" t="s">
        <v>40</v>
      </c>
      <c r="U73" s="56">
        <v>1170</v>
      </c>
      <c r="V73" s="56"/>
      <c r="W73" s="65">
        <v>1170</v>
      </c>
      <c r="X73" s="53">
        <v>251</v>
      </c>
      <c r="Y73" s="56">
        <v>11.7</v>
      </c>
      <c r="Z73" s="56">
        <v>119</v>
      </c>
      <c r="AA73" s="56">
        <v>10</v>
      </c>
      <c r="AB73" s="56">
        <v>680</v>
      </c>
      <c r="AC73" s="56">
        <v>95.6</v>
      </c>
    </row>
    <row r="74" spans="1:29">
      <c r="A74" s="11">
        <v>2</v>
      </c>
      <c r="B74" s="12" t="s">
        <v>2</v>
      </c>
      <c r="C74" s="13">
        <v>3</v>
      </c>
      <c r="D74" s="29">
        <v>44371</v>
      </c>
      <c r="E74" s="52">
        <v>6.02</v>
      </c>
      <c r="F74" s="53">
        <v>5060</v>
      </c>
      <c r="G74" s="54">
        <v>77</v>
      </c>
      <c r="H74" s="55" t="s">
        <v>33</v>
      </c>
      <c r="I74" s="55">
        <v>24.7</v>
      </c>
      <c r="J74" s="53">
        <v>1510</v>
      </c>
      <c r="K74" s="56" t="s">
        <v>34</v>
      </c>
      <c r="L74" s="56" t="s">
        <v>35</v>
      </c>
      <c r="M74" s="56" t="s">
        <v>36</v>
      </c>
      <c r="N74" s="63">
        <v>1030</v>
      </c>
      <c r="O74" s="56">
        <v>5.3</v>
      </c>
      <c r="P74" s="56" t="s">
        <v>37</v>
      </c>
      <c r="Q74" s="58" t="s">
        <v>38</v>
      </c>
      <c r="R74" s="56">
        <v>11</v>
      </c>
      <c r="S74" s="56" t="s">
        <v>39</v>
      </c>
      <c r="T74" s="56" t="s">
        <v>40</v>
      </c>
      <c r="U74" s="56">
        <v>1410</v>
      </c>
      <c r="V74" s="56"/>
      <c r="W74" s="65"/>
      <c r="X74" s="53">
        <v>289</v>
      </c>
      <c r="Y74" s="56">
        <v>15.8</v>
      </c>
      <c r="Z74" s="56">
        <v>133</v>
      </c>
      <c r="AA74" s="56">
        <v>12.3</v>
      </c>
      <c r="AB74" s="56">
        <v>842</v>
      </c>
      <c r="AC74" s="56">
        <v>99.2</v>
      </c>
    </row>
    <row r="75" spans="1:29">
      <c r="A75" s="11">
        <v>2</v>
      </c>
      <c r="B75" s="12" t="s">
        <v>2</v>
      </c>
      <c r="C75" s="13">
        <v>3</v>
      </c>
      <c r="D75" s="30" t="s">
        <v>3</v>
      </c>
      <c r="E75" s="52">
        <v>5.89</v>
      </c>
      <c r="F75" s="53">
        <v>5980</v>
      </c>
      <c r="G75" s="54">
        <v>93</v>
      </c>
      <c r="H75" s="55" t="s">
        <v>33</v>
      </c>
      <c r="I75" s="55">
        <v>30.1</v>
      </c>
      <c r="J75" s="53">
        <v>1840</v>
      </c>
      <c r="K75" s="56" t="s">
        <v>34</v>
      </c>
      <c r="L75" s="56" t="s">
        <v>35</v>
      </c>
      <c r="M75" s="56" t="s">
        <v>36</v>
      </c>
      <c r="N75" s="63">
        <v>1120</v>
      </c>
      <c r="O75" s="56">
        <v>3.4</v>
      </c>
      <c r="P75" s="56" t="s">
        <v>37</v>
      </c>
      <c r="Q75" s="58" t="s">
        <v>38</v>
      </c>
      <c r="R75" s="56">
        <v>15</v>
      </c>
      <c r="S75" s="56" t="s">
        <v>39</v>
      </c>
      <c r="T75" s="56" t="s">
        <v>40</v>
      </c>
      <c r="U75" s="56">
        <v>1670</v>
      </c>
      <c r="V75" s="56"/>
      <c r="W75" s="65">
        <v>568</v>
      </c>
      <c r="X75" s="53">
        <v>332</v>
      </c>
      <c r="Y75" s="56">
        <v>18.899999999999999</v>
      </c>
      <c r="Z75" s="56">
        <v>139</v>
      </c>
      <c r="AA75" s="56">
        <v>16.2</v>
      </c>
      <c r="AB75" s="56">
        <v>1010</v>
      </c>
      <c r="AC75" s="56">
        <v>112</v>
      </c>
    </row>
    <row r="76" spans="1:29">
      <c r="A76" s="11">
        <v>2</v>
      </c>
      <c r="B76" s="12" t="s">
        <v>2</v>
      </c>
      <c r="C76" s="13">
        <v>3</v>
      </c>
      <c r="D76" s="29">
        <v>43947</v>
      </c>
      <c r="E76" s="52">
        <v>5.6</v>
      </c>
      <c r="F76" s="53">
        <v>5730</v>
      </c>
      <c r="G76" s="54">
        <v>100</v>
      </c>
      <c r="H76" s="55" t="s">
        <v>33</v>
      </c>
      <c r="I76" s="55">
        <v>23.9</v>
      </c>
      <c r="J76" s="53">
        <v>1460</v>
      </c>
      <c r="K76" s="56" t="s">
        <v>34</v>
      </c>
      <c r="L76" s="56" t="s">
        <v>35</v>
      </c>
      <c r="M76" s="56" t="s">
        <v>35</v>
      </c>
      <c r="N76" s="63">
        <v>1170</v>
      </c>
      <c r="O76" s="56">
        <v>3</v>
      </c>
      <c r="P76" s="56">
        <v>1.99</v>
      </c>
      <c r="Q76" s="58" t="s">
        <v>41</v>
      </c>
      <c r="R76" s="56">
        <v>6.9</v>
      </c>
      <c r="S76" s="56" t="s">
        <v>39</v>
      </c>
      <c r="T76" s="56" t="s">
        <v>42</v>
      </c>
      <c r="U76" s="56">
        <v>1830</v>
      </c>
      <c r="V76" s="56"/>
      <c r="W76" s="65">
        <v>468</v>
      </c>
      <c r="X76" s="53">
        <v>235</v>
      </c>
      <c r="Y76" s="56">
        <v>21</v>
      </c>
      <c r="Z76" s="56">
        <v>134</v>
      </c>
      <c r="AA76" s="56">
        <v>15.6</v>
      </c>
      <c r="AB76" s="56">
        <v>1100</v>
      </c>
      <c r="AC76" s="56">
        <v>126</v>
      </c>
    </row>
    <row r="77" spans="1:29" ht="15" thickBot="1">
      <c r="A77" s="15">
        <v>2</v>
      </c>
      <c r="B77" s="16" t="s">
        <v>2</v>
      </c>
      <c r="C77" s="17">
        <v>3</v>
      </c>
      <c r="D77" s="31">
        <v>44159</v>
      </c>
      <c r="E77" s="111">
        <v>5.53</v>
      </c>
      <c r="F77" s="112">
        <v>5470</v>
      </c>
      <c r="G77" s="113">
        <v>180</v>
      </c>
      <c r="H77" s="114" t="s">
        <v>33</v>
      </c>
      <c r="I77" s="114">
        <v>50.8</v>
      </c>
      <c r="J77" s="112">
        <v>3100</v>
      </c>
      <c r="K77" s="115" t="s">
        <v>34</v>
      </c>
      <c r="L77" s="112" t="s">
        <v>35</v>
      </c>
      <c r="M77" s="115" t="s">
        <v>36</v>
      </c>
      <c r="N77" s="116">
        <v>836</v>
      </c>
      <c r="O77" s="115">
        <v>16.2</v>
      </c>
      <c r="P77" s="115">
        <v>8.6</v>
      </c>
      <c r="Q77" s="117">
        <v>30</v>
      </c>
      <c r="R77" s="115">
        <v>73</v>
      </c>
      <c r="S77" s="115" t="s">
        <v>39</v>
      </c>
      <c r="T77" s="115" t="s">
        <v>40</v>
      </c>
      <c r="U77" s="115">
        <v>1710</v>
      </c>
      <c r="V77" s="71"/>
      <c r="W77" s="118">
        <v>235</v>
      </c>
      <c r="X77" s="112">
        <v>283</v>
      </c>
      <c r="Y77" s="112">
        <v>16</v>
      </c>
      <c r="Z77" s="112">
        <v>118</v>
      </c>
      <c r="AA77" s="112">
        <v>22.9</v>
      </c>
      <c r="AB77" s="112">
        <v>1020</v>
      </c>
      <c r="AC77" s="112">
        <v>121</v>
      </c>
    </row>
    <row r="78" spans="1:29">
      <c r="A78" s="19">
        <v>2</v>
      </c>
      <c r="B78" s="20" t="s">
        <v>2</v>
      </c>
      <c r="C78" s="21">
        <v>4</v>
      </c>
      <c r="D78" s="32">
        <v>45980</v>
      </c>
      <c r="E78" s="74">
        <v>5.96</v>
      </c>
      <c r="F78" s="75">
        <v>4550</v>
      </c>
      <c r="G78" s="82">
        <v>420</v>
      </c>
      <c r="H78" s="74" t="s">
        <v>33</v>
      </c>
      <c r="I78" s="74">
        <v>14.8</v>
      </c>
      <c r="J78" s="75">
        <v>903</v>
      </c>
      <c r="K78" s="74" t="s">
        <v>34</v>
      </c>
      <c r="L78" s="74" t="s">
        <v>35</v>
      </c>
      <c r="M78" s="74" t="s">
        <v>36</v>
      </c>
      <c r="N78" s="79">
        <v>967</v>
      </c>
      <c r="O78" s="74">
        <v>1.8</v>
      </c>
      <c r="P78" s="74">
        <v>0.21</v>
      </c>
      <c r="Q78" s="83" t="s">
        <v>38</v>
      </c>
      <c r="R78" s="74">
        <v>6</v>
      </c>
      <c r="S78" s="74" t="s">
        <v>39</v>
      </c>
      <c r="T78" s="74" t="s">
        <v>40</v>
      </c>
      <c r="U78" s="74">
        <v>1180</v>
      </c>
      <c r="V78" s="78"/>
      <c r="W78" s="119">
        <v>647</v>
      </c>
      <c r="X78" s="75">
        <v>88.8</v>
      </c>
      <c r="Y78" s="78">
        <v>12.1</v>
      </c>
      <c r="Z78" s="78">
        <v>121</v>
      </c>
      <c r="AA78" s="78">
        <v>7.1</v>
      </c>
      <c r="AB78" s="78">
        <v>706</v>
      </c>
      <c r="AC78" s="78">
        <v>85.4</v>
      </c>
    </row>
    <row r="79" spans="1:29">
      <c r="A79" s="19">
        <v>2</v>
      </c>
      <c r="B79" s="20" t="s">
        <v>2</v>
      </c>
      <c r="C79" s="21">
        <v>4</v>
      </c>
      <c r="D79" s="22">
        <v>45792</v>
      </c>
      <c r="E79" s="74">
        <v>5.89</v>
      </c>
      <c r="F79" s="75">
        <v>4730</v>
      </c>
      <c r="G79" s="76">
        <v>34</v>
      </c>
      <c r="H79" s="77" t="s">
        <v>33</v>
      </c>
      <c r="I79" s="77">
        <v>16</v>
      </c>
      <c r="J79" s="75">
        <v>976</v>
      </c>
      <c r="K79" s="78" t="s">
        <v>34</v>
      </c>
      <c r="L79" s="78" t="s">
        <v>35</v>
      </c>
      <c r="M79" s="78" t="s">
        <v>35</v>
      </c>
      <c r="N79" s="79">
        <v>1270</v>
      </c>
      <c r="O79" s="78">
        <v>2</v>
      </c>
      <c r="P79" s="78" t="s">
        <v>37</v>
      </c>
      <c r="Q79" s="80" t="s">
        <v>41</v>
      </c>
      <c r="R79" s="78">
        <v>7.5</v>
      </c>
      <c r="S79" s="78" t="s">
        <v>39</v>
      </c>
      <c r="T79" s="78" t="s">
        <v>42</v>
      </c>
      <c r="U79" s="78">
        <v>1390</v>
      </c>
      <c r="V79" s="78"/>
      <c r="W79" s="75">
        <v>834</v>
      </c>
      <c r="X79" s="75">
        <v>109</v>
      </c>
      <c r="Y79" s="78">
        <v>15.5</v>
      </c>
      <c r="Z79" s="78">
        <v>125</v>
      </c>
      <c r="AA79" s="78">
        <v>8.8000000000000007</v>
      </c>
      <c r="AB79" s="78">
        <v>828</v>
      </c>
      <c r="AC79" s="78">
        <v>98.2</v>
      </c>
    </row>
    <row r="80" spans="1:29">
      <c r="A80" s="19">
        <v>2</v>
      </c>
      <c r="B80" s="20" t="s">
        <v>2</v>
      </c>
      <c r="C80" s="21">
        <v>4</v>
      </c>
      <c r="D80" s="32">
        <v>45567</v>
      </c>
      <c r="E80" s="74">
        <v>6.26</v>
      </c>
      <c r="F80" s="75">
        <v>5640</v>
      </c>
      <c r="G80" s="82">
        <v>34</v>
      </c>
      <c r="H80" s="74" t="s">
        <v>33</v>
      </c>
      <c r="I80" s="74">
        <v>18.7</v>
      </c>
      <c r="J80" s="75">
        <v>1140</v>
      </c>
      <c r="K80" s="74" t="s">
        <v>34</v>
      </c>
      <c r="L80" s="74" t="s">
        <v>35</v>
      </c>
      <c r="M80" s="74" t="s">
        <v>35</v>
      </c>
      <c r="N80" s="79">
        <v>1130</v>
      </c>
      <c r="O80" s="74">
        <v>3</v>
      </c>
      <c r="P80" s="74" t="s">
        <v>37</v>
      </c>
      <c r="Q80" s="83" t="s">
        <v>41</v>
      </c>
      <c r="R80" s="74">
        <v>7.8</v>
      </c>
      <c r="S80" s="74" t="s">
        <v>39</v>
      </c>
      <c r="T80" s="74" t="s">
        <v>42</v>
      </c>
      <c r="U80" s="74">
        <v>1480</v>
      </c>
      <c r="V80" s="78"/>
      <c r="W80" s="119">
        <v>706</v>
      </c>
      <c r="X80" s="75">
        <v>78.5</v>
      </c>
      <c r="Y80" s="78">
        <v>16.5</v>
      </c>
      <c r="Z80" s="78">
        <v>122</v>
      </c>
      <c r="AA80" s="78">
        <v>5</v>
      </c>
      <c r="AB80" s="78">
        <v>883</v>
      </c>
      <c r="AC80" s="78">
        <v>104</v>
      </c>
    </row>
    <row r="81" spans="1:29">
      <c r="A81" s="19">
        <v>2</v>
      </c>
      <c r="B81" s="20" t="s">
        <v>2</v>
      </c>
      <c r="C81" s="21">
        <v>4</v>
      </c>
      <c r="D81" s="32">
        <v>45538</v>
      </c>
      <c r="E81" s="74">
        <v>6.31</v>
      </c>
      <c r="F81" s="75">
        <v>6300</v>
      </c>
      <c r="G81" s="82">
        <v>40</v>
      </c>
      <c r="H81" s="74" t="s">
        <v>33</v>
      </c>
      <c r="I81" s="74">
        <v>15.9</v>
      </c>
      <c r="J81" s="75">
        <v>970</v>
      </c>
      <c r="K81" s="74" t="s">
        <v>34</v>
      </c>
      <c r="L81" s="74" t="s">
        <v>35</v>
      </c>
      <c r="M81" s="74" t="s">
        <v>35</v>
      </c>
      <c r="N81" s="120">
        <v>1300</v>
      </c>
      <c r="O81" s="74">
        <v>3</v>
      </c>
      <c r="P81" s="74" t="s">
        <v>37</v>
      </c>
      <c r="Q81" s="83" t="s">
        <v>41</v>
      </c>
      <c r="R81" s="74">
        <v>8.4</v>
      </c>
      <c r="S81" s="74" t="s">
        <v>39</v>
      </c>
      <c r="T81" s="74" t="s">
        <v>42</v>
      </c>
      <c r="U81" s="74">
        <v>1480</v>
      </c>
      <c r="V81" s="56"/>
      <c r="W81" s="119">
        <v>744</v>
      </c>
      <c r="X81" s="53">
        <v>80.8</v>
      </c>
      <c r="Y81" s="56">
        <v>16.5</v>
      </c>
      <c r="Z81" s="56">
        <v>119</v>
      </c>
      <c r="AA81" s="56">
        <v>5.2</v>
      </c>
      <c r="AB81" s="56">
        <v>888</v>
      </c>
      <c r="AC81" s="56">
        <v>102</v>
      </c>
    </row>
    <row r="82" spans="1:29">
      <c r="A82" s="19">
        <v>2</v>
      </c>
      <c r="B82" s="20" t="s">
        <v>2</v>
      </c>
      <c r="C82" s="21">
        <v>4</v>
      </c>
      <c r="D82" s="32">
        <v>45510</v>
      </c>
      <c r="E82" s="74">
        <v>6.23</v>
      </c>
      <c r="F82" s="75">
        <v>5790</v>
      </c>
      <c r="G82" s="82">
        <v>35</v>
      </c>
      <c r="H82" s="74" t="s">
        <v>33</v>
      </c>
      <c r="I82" s="74">
        <v>16.7</v>
      </c>
      <c r="J82" s="75">
        <v>1020</v>
      </c>
      <c r="K82" s="74" t="s">
        <v>34</v>
      </c>
      <c r="L82" s="74" t="s">
        <v>35</v>
      </c>
      <c r="M82" s="74" t="s">
        <v>35</v>
      </c>
      <c r="N82" s="120">
        <v>1290</v>
      </c>
      <c r="O82" s="74">
        <v>2</v>
      </c>
      <c r="P82" s="74" t="s">
        <v>37</v>
      </c>
      <c r="Q82" s="83" t="s">
        <v>41</v>
      </c>
      <c r="R82" s="74">
        <v>9.1999999999999993</v>
      </c>
      <c r="S82" s="74" t="s">
        <v>39</v>
      </c>
      <c r="T82" s="74" t="s">
        <v>42</v>
      </c>
      <c r="U82" s="74">
        <v>1450</v>
      </c>
      <c r="V82" s="56"/>
      <c r="W82" s="119">
        <v>877</v>
      </c>
      <c r="X82" s="53">
        <v>83.9</v>
      </c>
      <c r="Y82" s="56">
        <v>16.399999999999999</v>
      </c>
      <c r="Z82" s="56">
        <v>122</v>
      </c>
      <c r="AA82" s="56">
        <v>4.9000000000000004</v>
      </c>
      <c r="AB82" s="56">
        <v>864</v>
      </c>
      <c r="AC82" s="56">
        <v>103</v>
      </c>
    </row>
    <row r="83" spans="1:29">
      <c r="A83" s="19">
        <v>2</v>
      </c>
      <c r="B83" s="20" t="s">
        <v>2</v>
      </c>
      <c r="C83" s="21">
        <v>4</v>
      </c>
      <c r="D83" s="32">
        <v>45482</v>
      </c>
      <c r="E83" s="74">
        <v>6.39</v>
      </c>
      <c r="F83" s="75">
        <v>5030</v>
      </c>
      <c r="G83" s="82">
        <v>40</v>
      </c>
      <c r="H83" s="74" t="s">
        <v>33</v>
      </c>
      <c r="I83" s="74">
        <v>20.5</v>
      </c>
      <c r="J83" s="75">
        <v>1250</v>
      </c>
      <c r="K83" s="74" t="s">
        <v>34</v>
      </c>
      <c r="L83" s="74" t="s">
        <v>35</v>
      </c>
      <c r="M83" s="74" t="s">
        <v>35</v>
      </c>
      <c r="N83" s="120">
        <v>1300</v>
      </c>
      <c r="O83" s="74">
        <v>2</v>
      </c>
      <c r="P83" s="74" t="s">
        <v>37</v>
      </c>
      <c r="Q83" s="83" t="s">
        <v>41</v>
      </c>
      <c r="R83" s="74">
        <v>8.5</v>
      </c>
      <c r="S83" s="74" t="s">
        <v>39</v>
      </c>
      <c r="T83" s="74" t="s">
        <v>42</v>
      </c>
      <c r="U83" s="74">
        <v>1510</v>
      </c>
      <c r="V83" s="56"/>
      <c r="W83" s="119">
        <v>1420</v>
      </c>
      <c r="X83" s="53">
        <v>88.4</v>
      </c>
      <c r="Y83" s="56">
        <v>17.5</v>
      </c>
      <c r="Z83" s="56">
        <v>124</v>
      </c>
      <c r="AA83" s="56">
        <v>5.2</v>
      </c>
      <c r="AB83" s="56">
        <v>906</v>
      </c>
      <c r="AC83" s="56">
        <v>107</v>
      </c>
    </row>
    <row r="84" spans="1:29">
      <c r="A84" s="19">
        <v>2</v>
      </c>
      <c r="B84" s="20" t="s">
        <v>2</v>
      </c>
      <c r="C84" s="21">
        <v>4</v>
      </c>
      <c r="D84" s="32">
        <v>45454</v>
      </c>
      <c r="E84" s="74">
        <v>6.15</v>
      </c>
      <c r="F84" s="75">
        <v>4910</v>
      </c>
      <c r="G84" s="82">
        <v>32</v>
      </c>
      <c r="H84" s="74" t="s">
        <v>33</v>
      </c>
      <c r="I84" s="74">
        <v>17.2</v>
      </c>
      <c r="J84" s="75">
        <v>1050</v>
      </c>
      <c r="K84" s="74" t="s">
        <v>34</v>
      </c>
      <c r="L84" s="74" t="s">
        <v>35</v>
      </c>
      <c r="M84" s="74" t="s">
        <v>35</v>
      </c>
      <c r="N84" s="120">
        <v>1260</v>
      </c>
      <c r="O84" s="74">
        <v>3</v>
      </c>
      <c r="P84" s="74" t="s">
        <v>37</v>
      </c>
      <c r="Q84" s="83" t="s">
        <v>41</v>
      </c>
      <c r="R84" s="74">
        <v>8.1999999999999993</v>
      </c>
      <c r="S84" s="74" t="s">
        <v>39</v>
      </c>
      <c r="T84" s="74" t="s">
        <v>42</v>
      </c>
      <c r="U84" s="74">
        <v>1460</v>
      </c>
      <c r="V84" s="56"/>
      <c r="W84" s="119">
        <v>1100</v>
      </c>
      <c r="X84" s="53">
        <v>87.5</v>
      </c>
      <c r="Y84" s="56">
        <v>16.899999999999999</v>
      </c>
      <c r="Z84" s="56">
        <v>123</v>
      </c>
      <c r="AA84" s="56">
        <v>5.2</v>
      </c>
      <c r="AB84" s="56">
        <v>877</v>
      </c>
      <c r="AC84" s="56">
        <v>101</v>
      </c>
    </row>
    <row r="85" spans="1:29">
      <c r="A85" s="19">
        <v>2</v>
      </c>
      <c r="B85" s="20" t="s">
        <v>2</v>
      </c>
      <c r="C85" s="21">
        <v>4</v>
      </c>
      <c r="D85" s="32">
        <v>45426</v>
      </c>
      <c r="E85" s="74">
        <v>6.64</v>
      </c>
      <c r="F85" s="75">
        <v>5240</v>
      </c>
      <c r="G85" s="82">
        <v>70</v>
      </c>
      <c r="H85" s="74" t="s">
        <v>33</v>
      </c>
      <c r="I85" s="74">
        <v>19.100000000000001</v>
      </c>
      <c r="J85" s="75">
        <v>1170</v>
      </c>
      <c r="K85" s="74" t="s">
        <v>34</v>
      </c>
      <c r="L85" s="74" t="s">
        <v>35</v>
      </c>
      <c r="M85" s="74" t="s">
        <v>35</v>
      </c>
      <c r="N85" s="120">
        <v>1220</v>
      </c>
      <c r="O85" s="74">
        <v>3</v>
      </c>
      <c r="P85" s="74" t="s">
        <v>37</v>
      </c>
      <c r="Q85" s="83" t="s">
        <v>41</v>
      </c>
      <c r="R85" s="74">
        <v>8.4</v>
      </c>
      <c r="S85" s="74">
        <v>0.02</v>
      </c>
      <c r="T85" s="74" t="s">
        <v>42</v>
      </c>
      <c r="U85" s="74">
        <v>1510</v>
      </c>
      <c r="V85" s="56"/>
      <c r="W85" s="119">
        <v>639</v>
      </c>
      <c r="X85" s="53">
        <v>95.1</v>
      </c>
      <c r="Y85" s="56">
        <v>17.5</v>
      </c>
      <c r="Z85" s="56">
        <v>123</v>
      </c>
      <c r="AA85" s="56">
        <v>5.7</v>
      </c>
      <c r="AB85" s="56">
        <v>901</v>
      </c>
      <c r="AC85" s="56">
        <v>107</v>
      </c>
    </row>
    <row r="86" spans="1:29">
      <c r="A86" s="19">
        <v>2</v>
      </c>
      <c r="B86" s="20" t="s">
        <v>2</v>
      </c>
      <c r="C86" s="21">
        <v>4</v>
      </c>
      <c r="D86" s="32">
        <v>45384</v>
      </c>
      <c r="E86" s="74">
        <v>6.14</v>
      </c>
      <c r="F86" s="75">
        <v>4550</v>
      </c>
      <c r="G86" s="82">
        <v>3.8</v>
      </c>
      <c r="H86" s="74" t="s">
        <v>33</v>
      </c>
      <c r="I86" s="74">
        <v>17.899999999999999</v>
      </c>
      <c r="J86" s="75">
        <v>1090</v>
      </c>
      <c r="K86" s="74" t="s">
        <v>34</v>
      </c>
      <c r="L86" s="74" t="s">
        <v>35</v>
      </c>
      <c r="M86" s="74" t="s">
        <v>35</v>
      </c>
      <c r="N86" s="120">
        <v>1270</v>
      </c>
      <c r="O86" s="74">
        <v>3</v>
      </c>
      <c r="P86" s="74" t="s">
        <v>37</v>
      </c>
      <c r="Q86" s="83" t="s">
        <v>41</v>
      </c>
      <c r="R86" s="74">
        <v>5.9</v>
      </c>
      <c r="S86" s="74">
        <v>0.03</v>
      </c>
      <c r="T86" s="74" t="s">
        <v>42</v>
      </c>
      <c r="U86" s="74">
        <v>1130</v>
      </c>
      <c r="V86" s="56"/>
      <c r="W86" s="119">
        <v>1080</v>
      </c>
      <c r="X86" s="53">
        <v>22.3</v>
      </c>
      <c r="Y86" s="56">
        <v>8.7100000000000009</v>
      </c>
      <c r="Z86" s="56">
        <v>97.1</v>
      </c>
      <c r="AA86" s="56">
        <v>5.6</v>
      </c>
      <c r="AB86" s="56">
        <v>638</v>
      </c>
      <c r="AC86" s="56">
        <v>101</v>
      </c>
    </row>
    <row r="87" spans="1:29">
      <c r="A87" s="19">
        <v>2</v>
      </c>
      <c r="B87" s="20" t="s">
        <v>2</v>
      </c>
      <c r="C87" s="21">
        <v>4</v>
      </c>
      <c r="D87" s="32">
        <v>45357</v>
      </c>
      <c r="E87" s="74">
        <v>6.34</v>
      </c>
      <c r="F87" s="75">
        <v>5310</v>
      </c>
      <c r="G87" s="76">
        <v>47</v>
      </c>
      <c r="H87" s="74" t="s">
        <v>33</v>
      </c>
      <c r="I87" s="74">
        <v>20.100000000000001</v>
      </c>
      <c r="J87" s="75">
        <v>1230</v>
      </c>
      <c r="K87" s="74" t="s">
        <v>34</v>
      </c>
      <c r="L87" s="74" t="s">
        <v>35</v>
      </c>
      <c r="M87" s="74" t="s">
        <v>35</v>
      </c>
      <c r="N87" s="120">
        <v>1210</v>
      </c>
      <c r="O87" s="74">
        <v>3</v>
      </c>
      <c r="P87" s="74" t="s">
        <v>37</v>
      </c>
      <c r="Q87" s="83" t="s">
        <v>41</v>
      </c>
      <c r="R87" s="74">
        <v>5.8</v>
      </c>
      <c r="S87" s="74" t="s">
        <v>39</v>
      </c>
      <c r="T87" s="74" t="s">
        <v>42</v>
      </c>
      <c r="U87" s="74">
        <v>1460</v>
      </c>
      <c r="V87" s="78"/>
      <c r="W87" s="119">
        <v>654</v>
      </c>
      <c r="X87" s="75">
        <v>97.1</v>
      </c>
      <c r="Y87" s="78">
        <v>16.600000000000001</v>
      </c>
      <c r="Z87" s="78">
        <v>125</v>
      </c>
      <c r="AA87" s="78">
        <v>5</v>
      </c>
      <c r="AB87" s="78">
        <v>876</v>
      </c>
      <c r="AC87" s="78">
        <v>103</v>
      </c>
    </row>
    <row r="88" spans="1:29">
      <c r="A88" s="19">
        <v>2</v>
      </c>
      <c r="B88" s="20" t="s">
        <v>2</v>
      </c>
      <c r="C88" s="21">
        <v>4</v>
      </c>
      <c r="D88" s="32">
        <v>45328</v>
      </c>
      <c r="E88" s="74">
        <v>6.39</v>
      </c>
      <c r="F88" s="75">
        <v>5660</v>
      </c>
      <c r="G88" s="82">
        <v>52</v>
      </c>
      <c r="H88" s="74" t="s">
        <v>33</v>
      </c>
      <c r="I88" s="74">
        <v>19.7</v>
      </c>
      <c r="J88" s="75">
        <v>1200</v>
      </c>
      <c r="K88" s="74" t="s">
        <v>34</v>
      </c>
      <c r="L88" s="74" t="s">
        <v>35</v>
      </c>
      <c r="M88" s="74" t="s">
        <v>35</v>
      </c>
      <c r="N88" s="120">
        <v>1330</v>
      </c>
      <c r="O88" s="74" t="s">
        <v>35</v>
      </c>
      <c r="P88" s="74" t="s">
        <v>37</v>
      </c>
      <c r="Q88" s="83" t="s">
        <v>41</v>
      </c>
      <c r="R88" s="74">
        <v>6.8</v>
      </c>
      <c r="S88" s="74">
        <v>0.03</v>
      </c>
      <c r="T88" s="74" t="s">
        <v>42</v>
      </c>
      <c r="U88" s="74">
        <v>1500</v>
      </c>
      <c r="V88" s="56"/>
      <c r="W88" s="65">
        <v>751</v>
      </c>
      <c r="X88" s="53">
        <v>101</v>
      </c>
      <c r="Y88" s="56">
        <v>17</v>
      </c>
      <c r="Z88" s="56">
        <v>124</v>
      </c>
      <c r="AA88" s="56">
        <v>5.4</v>
      </c>
      <c r="AB88" s="56">
        <v>897</v>
      </c>
      <c r="AC88" s="56">
        <v>105</v>
      </c>
    </row>
    <row r="89" spans="1:29">
      <c r="A89" s="19">
        <v>2</v>
      </c>
      <c r="B89" s="20" t="s">
        <v>2</v>
      </c>
      <c r="C89" s="21">
        <v>4</v>
      </c>
      <c r="D89" s="32">
        <v>45300</v>
      </c>
      <c r="E89" s="74">
        <v>6.28</v>
      </c>
      <c r="F89" s="75">
        <v>7480</v>
      </c>
      <c r="G89" s="82">
        <v>49</v>
      </c>
      <c r="H89" s="74" t="s">
        <v>33</v>
      </c>
      <c r="I89" s="74">
        <v>21.5</v>
      </c>
      <c r="J89" s="75">
        <v>1310</v>
      </c>
      <c r="K89" s="74" t="s">
        <v>34</v>
      </c>
      <c r="L89" s="74" t="s">
        <v>35</v>
      </c>
      <c r="M89" s="74" t="s">
        <v>35</v>
      </c>
      <c r="N89" s="120">
        <v>1430</v>
      </c>
      <c r="O89" s="74">
        <v>3</v>
      </c>
      <c r="P89" s="74" t="s">
        <v>37</v>
      </c>
      <c r="Q89" s="83" t="s">
        <v>41</v>
      </c>
      <c r="R89" s="74">
        <v>6.6</v>
      </c>
      <c r="S89" s="74" t="s">
        <v>39</v>
      </c>
      <c r="T89" s="74" t="s">
        <v>42</v>
      </c>
      <c r="U89" s="74">
        <v>1620</v>
      </c>
      <c r="V89" s="56"/>
      <c r="W89" s="65">
        <v>1810</v>
      </c>
      <c r="X89" s="53">
        <v>109</v>
      </c>
      <c r="Y89" s="56">
        <v>20.3</v>
      </c>
      <c r="Z89" s="56">
        <v>124</v>
      </c>
      <c r="AA89" s="56">
        <v>5.3</v>
      </c>
      <c r="AB89" s="56">
        <v>988</v>
      </c>
      <c r="AC89" s="56">
        <v>103</v>
      </c>
    </row>
    <row r="90" spans="1:29">
      <c r="A90" s="19">
        <v>2</v>
      </c>
      <c r="B90" s="20" t="s">
        <v>2</v>
      </c>
      <c r="C90" s="21">
        <v>4</v>
      </c>
      <c r="D90" s="32">
        <v>45264</v>
      </c>
      <c r="E90" s="74">
        <v>6.05</v>
      </c>
      <c r="F90" s="75">
        <v>8730</v>
      </c>
      <c r="G90" s="82">
        <v>48</v>
      </c>
      <c r="H90" s="74" t="s">
        <v>33</v>
      </c>
      <c r="I90" s="74">
        <v>20.399999999999999</v>
      </c>
      <c r="J90" s="75">
        <v>1240</v>
      </c>
      <c r="K90" s="74" t="s">
        <v>34</v>
      </c>
      <c r="L90" s="74" t="s">
        <v>35</v>
      </c>
      <c r="M90" s="74" t="s">
        <v>35</v>
      </c>
      <c r="N90" s="120">
        <v>1300</v>
      </c>
      <c r="O90" s="74">
        <v>4</v>
      </c>
      <c r="P90" s="74" t="s">
        <v>37</v>
      </c>
      <c r="Q90" s="83" t="s">
        <v>41</v>
      </c>
      <c r="R90" s="74">
        <v>6.7</v>
      </c>
      <c r="S90" s="74">
        <v>0.04</v>
      </c>
      <c r="T90" s="74" t="s">
        <v>42</v>
      </c>
      <c r="U90" s="74">
        <v>1590</v>
      </c>
      <c r="V90" s="56"/>
      <c r="W90" s="65">
        <v>967</v>
      </c>
      <c r="X90" s="53">
        <v>129</v>
      </c>
      <c r="Y90" s="56">
        <v>18.8</v>
      </c>
      <c r="Z90" s="56">
        <v>137</v>
      </c>
      <c r="AA90" s="56">
        <v>6.1</v>
      </c>
      <c r="AB90" s="56">
        <v>955</v>
      </c>
      <c r="AC90" s="56">
        <v>111</v>
      </c>
    </row>
    <row r="91" spans="1:29">
      <c r="A91" s="19">
        <v>2</v>
      </c>
      <c r="B91" s="20" t="s">
        <v>2</v>
      </c>
      <c r="C91" s="21">
        <v>4</v>
      </c>
      <c r="D91" s="32">
        <v>45209</v>
      </c>
      <c r="E91" s="74">
        <v>6.34</v>
      </c>
      <c r="F91" s="75">
        <v>5790</v>
      </c>
      <c r="G91" s="76">
        <v>28</v>
      </c>
      <c r="H91" s="74" t="s">
        <v>33</v>
      </c>
      <c r="I91" s="74">
        <v>23.2</v>
      </c>
      <c r="J91" s="75">
        <v>1420</v>
      </c>
      <c r="K91" s="74" t="s">
        <v>34</v>
      </c>
      <c r="L91" s="74" t="s">
        <v>35</v>
      </c>
      <c r="M91" s="74" t="s">
        <v>35</v>
      </c>
      <c r="N91" s="120">
        <v>1410</v>
      </c>
      <c r="O91" s="74" t="s">
        <v>35</v>
      </c>
      <c r="P91" s="74" t="s">
        <v>37</v>
      </c>
      <c r="Q91" s="83" t="s">
        <v>41</v>
      </c>
      <c r="R91" s="74">
        <v>8.9</v>
      </c>
      <c r="S91" s="74" t="s">
        <v>39</v>
      </c>
      <c r="T91" s="74" t="s">
        <v>42</v>
      </c>
      <c r="U91" s="74">
        <v>1620</v>
      </c>
      <c r="V91" s="78"/>
      <c r="W91" s="119">
        <v>1200</v>
      </c>
      <c r="X91" s="75">
        <v>146</v>
      </c>
      <c r="Y91" s="78">
        <v>19.100000000000001</v>
      </c>
      <c r="Z91" s="78">
        <v>136</v>
      </c>
      <c r="AA91" s="78">
        <v>6.3</v>
      </c>
      <c r="AB91" s="78">
        <v>969</v>
      </c>
      <c r="AC91" s="78">
        <v>113</v>
      </c>
    </row>
    <row r="92" spans="1:29">
      <c r="A92" s="19">
        <v>2</v>
      </c>
      <c r="B92" s="20" t="s">
        <v>2</v>
      </c>
      <c r="C92" s="21">
        <v>4</v>
      </c>
      <c r="D92" s="32">
        <v>45181</v>
      </c>
      <c r="E92" s="74">
        <v>6.32</v>
      </c>
      <c r="F92" s="75">
        <v>5500</v>
      </c>
      <c r="G92" s="76">
        <v>57</v>
      </c>
      <c r="H92" s="77" t="s">
        <v>33</v>
      </c>
      <c r="I92" s="77">
        <v>22.9</v>
      </c>
      <c r="J92" s="75">
        <v>1400</v>
      </c>
      <c r="K92" s="78" t="s">
        <v>34</v>
      </c>
      <c r="L92" s="78" t="s">
        <v>35</v>
      </c>
      <c r="M92" s="78" t="s">
        <v>35</v>
      </c>
      <c r="N92" s="120">
        <v>1330</v>
      </c>
      <c r="O92" s="78">
        <v>2</v>
      </c>
      <c r="P92" s="78" t="s">
        <v>37</v>
      </c>
      <c r="Q92" s="80" t="s">
        <v>41</v>
      </c>
      <c r="R92" s="78">
        <v>8</v>
      </c>
      <c r="S92" s="78" t="s">
        <v>39</v>
      </c>
      <c r="T92" s="78" t="s">
        <v>42</v>
      </c>
      <c r="U92" s="78">
        <v>1610</v>
      </c>
      <c r="V92" s="78"/>
      <c r="W92" s="119">
        <v>1160</v>
      </c>
      <c r="X92" s="75">
        <v>156</v>
      </c>
      <c r="Y92" s="78">
        <v>18.600000000000001</v>
      </c>
      <c r="Z92" s="78">
        <v>139</v>
      </c>
      <c r="AA92" s="78">
        <v>11.4</v>
      </c>
      <c r="AB92" s="78">
        <v>960</v>
      </c>
      <c r="AC92" s="78">
        <v>114</v>
      </c>
    </row>
    <row r="93" spans="1:29">
      <c r="A93" s="33">
        <v>2</v>
      </c>
      <c r="B93" s="20" t="s">
        <v>2</v>
      </c>
      <c r="C93" s="21">
        <v>4</v>
      </c>
      <c r="D93" s="32">
        <v>45160</v>
      </c>
      <c r="E93" s="74">
        <v>6.33</v>
      </c>
      <c r="F93" s="53">
        <v>5310</v>
      </c>
      <c r="G93" s="76">
        <v>47</v>
      </c>
      <c r="H93" s="55" t="s">
        <v>33</v>
      </c>
      <c r="I93" s="55">
        <v>22.7</v>
      </c>
      <c r="J93" s="53">
        <v>1380</v>
      </c>
      <c r="K93" s="56" t="s">
        <v>34</v>
      </c>
      <c r="L93" s="56" t="s">
        <v>35</v>
      </c>
      <c r="M93" s="56" t="s">
        <v>36</v>
      </c>
      <c r="N93" s="120">
        <v>1280</v>
      </c>
      <c r="O93" s="56">
        <v>2.1</v>
      </c>
      <c r="P93" s="56" t="s">
        <v>48</v>
      </c>
      <c r="Q93" s="58" t="s">
        <v>38</v>
      </c>
      <c r="R93" s="56">
        <v>7.3</v>
      </c>
      <c r="S93" s="56" t="s">
        <v>39</v>
      </c>
      <c r="T93" s="56" t="s">
        <v>40</v>
      </c>
      <c r="U93" s="56">
        <v>1590</v>
      </c>
      <c r="V93" s="56"/>
      <c r="W93" s="65">
        <v>1160</v>
      </c>
      <c r="X93" s="53">
        <v>181</v>
      </c>
      <c r="Y93" s="56">
        <v>19.5</v>
      </c>
      <c r="Z93" s="56">
        <v>141</v>
      </c>
      <c r="AA93" s="56">
        <v>12.7</v>
      </c>
      <c r="AB93" s="56">
        <v>948</v>
      </c>
      <c r="AC93" s="56">
        <v>113</v>
      </c>
    </row>
    <row r="94" spans="1:29">
      <c r="A94" s="33">
        <v>2</v>
      </c>
      <c r="B94" s="20" t="s">
        <v>2</v>
      </c>
      <c r="C94" s="21">
        <v>4</v>
      </c>
      <c r="D94" s="32">
        <v>45118</v>
      </c>
      <c r="E94" s="74">
        <v>6.25</v>
      </c>
      <c r="F94" s="53">
        <v>5820</v>
      </c>
      <c r="G94" s="76">
        <v>60</v>
      </c>
      <c r="H94" s="55" t="s">
        <v>33</v>
      </c>
      <c r="I94" s="55">
        <v>22.5</v>
      </c>
      <c r="J94" s="53">
        <v>1370</v>
      </c>
      <c r="K94" s="56" t="s">
        <v>34</v>
      </c>
      <c r="L94" s="56" t="s">
        <v>35</v>
      </c>
      <c r="M94" s="56" t="s">
        <v>36</v>
      </c>
      <c r="N94" s="120">
        <v>1230</v>
      </c>
      <c r="O94" s="56">
        <v>2.5</v>
      </c>
      <c r="P94" s="56" t="s">
        <v>37</v>
      </c>
      <c r="Q94" s="58" t="s">
        <v>38</v>
      </c>
      <c r="R94" s="56">
        <v>9.6</v>
      </c>
      <c r="S94" s="56" t="s">
        <v>39</v>
      </c>
      <c r="T94" s="56" t="s">
        <v>40</v>
      </c>
      <c r="U94" s="56">
        <v>1530</v>
      </c>
      <c r="V94" s="56"/>
      <c r="W94" s="65">
        <v>822</v>
      </c>
      <c r="X94" s="53">
        <v>218</v>
      </c>
      <c r="Y94" s="56">
        <v>18.3</v>
      </c>
      <c r="Z94" s="56">
        <v>136</v>
      </c>
      <c r="AA94" s="56">
        <v>14</v>
      </c>
      <c r="AB94" s="56">
        <v>920</v>
      </c>
      <c r="AC94" s="56">
        <v>107</v>
      </c>
    </row>
    <row r="95" spans="1:29">
      <c r="A95" s="33">
        <v>2</v>
      </c>
      <c r="B95" s="20" t="s">
        <v>2</v>
      </c>
      <c r="C95" s="21">
        <v>4</v>
      </c>
      <c r="D95" s="32">
        <v>45097</v>
      </c>
      <c r="E95" s="74">
        <v>6.08</v>
      </c>
      <c r="F95" s="53">
        <v>4510</v>
      </c>
      <c r="G95" s="54">
        <v>60</v>
      </c>
      <c r="H95" s="55" t="s">
        <v>33</v>
      </c>
      <c r="I95" s="55">
        <v>21.8</v>
      </c>
      <c r="J95" s="53">
        <v>1330</v>
      </c>
      <c r="K95" s="56" t="s">
        <v>34</v>
      </c>
      <c r="L95" s="56" t="s">
        <v>35</v>
      </c>
      <c r="M95" s="56" t="s">
        <v>35</v>
      </c>
      <c r="N95" s="63">
        <v>1150</v>
      </c>
      <c r="O95" s="56">
        <v>5</v>
      </c>
      <c r="P95" s="56" t="s">
        <v>37</v>
      </c>
      <c r="Q95" s="58" t="s">
        <v>41</v>
      </c>
      <c r="R95" s="56">
        <v>10.3</v>
      </c>
      <c r="S95" s="56" t="s">
        <v>39</v>
      </c>
      <c r="T95" s="56" t="s">
        <v>42</v>
      </c>
      <c r="U95" s="56">
        <v>1430</v>
      </c>
      <c r="V95" s="56"/>
      <c r="W95" s="65">
        <v>724</v>
      </c>
      <c r="X95" s="53">
        <v>228</v>
      </c>
      <c r="Y95" s="56">
        <v>15.9</v>
      </c>
      <c r="Z95" s="56">
        <v>137</v>
      </c>
      <c r="AA95" s="56">
        <v>8.8000000000000007</v>
      </c>
      <c r="AB95" s="56">
        <v>849</v>
      </c>
      <c r="AC95" s="56">
        <v>105</v>
      </c>
    </row>
    <row r="96" spans="1:29">
      <c r="A96" s="33">
        <v>2</v>
      </c>
      <c r="B96" s="20" t="s">
        <v>2</v>
      </c>
      <c r="C96" s="21">
        <v>4</v>
      </c>
      <c r="D96" s="22">
        <v>45062</v>
      </c>
      <c r="E96" s="74">
        <v>6.11</v>
      </c>
      <c r="F96" s="53">
        <v>4930</v>
      </c>
      <c r="G96" s="54" t="s">
        <v>50</v>
      </c>
      <c r="H96" s="56" t="s">
        <v>33</v>
      </c>
      <c r="I96" s="56">
        <v>22.6</v>
      </c>
      <c r="J96" s="53">
        <v>1380</v>
      </c>
      <c r="K96" s="56" t="s">
        <v>34</v>
      </c>
      <c r="L96" s="56" t="s">
        <v>35</v>
      </c>
      <c r="M96" s="56" t="s">
        <v>35</v>
      </c>
      <c r="N96" s="63">
        <v>1100</v>
      </c>
      <c r="O96" s="56" t="s">
        <v>35</v>
      </c>
      <c r="P96" s="56" t="s">
        <v>37</v>
      </c>
      <c r="Q96" s="58" t="s">
        <v>41</v>
      </c>
      <c r="R96" s="56">
        <v>7.2</v>
      </c>
      <c r="S96" s="56" t="s">
        <v>39</v>
      </c>
      <c r="T96" s="56" t="s">
        <v>42</v>
      </c>
      <c r="U96" s="56">
        <v>1370</v>
      </c>
      <c r="V96" s="12"/>
      <c r="W96" s="65">
        <v>366</v>
      </c>
      <c r="X96" s="53">
        <v>258</v>
      </c>
      <c r="Y96" s="56">
        <v>13.3</v>
      </c>
      <c r="Z96" s="56">
        <v>132</v>
      </c>
      <c r="AA96" s="56">
        <v>9.4</v>
      </c>
      <c r="AB96" s="56">
        <v>814</v>
      </c>
      <c r="AC96" s="56">
        <v>99.1</v>
      </c>
    </row>
    <row r="97" spans="1:29">
      <c r="A97" s="33">
        <v>2</v>
      </c>
      <c r="B97" s="20" t="s">
        <v>2</v>
      </c>
      <c r="C97" s="21">
        <v>4</v>
      </c>
      <c r="D97" s="22">
        <v>44796</v>
      </c>
      <c r="E97" s="74">
        <v>5.86</v>
      </c>
      <c r="F97" s="75">
        <v>4780</v>
      </c>
      <c r="G97" s="76">
        <v>56</v>
      </c>
      <c r="H97" s="77" t="s">
        <v>33</v>
      </c>
      <c r="I97" s="77">
        <v>17.899999999999999</v>
      </c>
      <c r="J97" s="75">
        <v>1090</v>
      </c>
      <c r="K97" s="78" t="s">
        <v>34</v>
      </c>
      <c r="L97" s="78" t="s">
        <v>35</v>
      </c>
      <c r="M97" s="78" t="s">
        <v>35</v>
      </c>
      <c r="N97" s="120">
        <v>1080</v>
      </c>
      <c r="O97" s="78">
        <v>5</v>
      </c>
      <c r="P97" s="78" t="s">
        <v>37</v>
      </c>
      <c r="Q97" s="80" t="s">
        <v>41</v>
      </c>
      <c r="R97" s="78">
        <v>12</v>
      </c>
      <c r="S97" s="78" t="s">
        <v>39</v>
      </c>
      <c r="T97" s="78" t="s">
        <v>42</v>
      </c>
      <c r="U97" s="78">
        <v>1220</v>
      </c>
      <c r="V97" s="78"/>
      <c r="W97" s="119">
        <v>818</v>
      </c>
      <c r="X97" s="75">
        <v>221</v>
      </c>
      <c r="Y97" s="78">
        <v>11.6</v>
      </c>
      <c r="Z97" s="78">
        <v>127</v>
      </c>
      <c r="AA97" s="78">
        <v>9.1999999999999993</v>
      </c>
      <c r="AB97" s="78">
        <v>719</v>
      </c>
      <c r="AC97" s="78">
        <v>94.6</v>
      </c>
    </row>
    <row r="98" spans="1:29">
      <c r="A98" s="34">
        <v>2</v>
      </c>
      <c r="B98" s="12" t="s">
        <v>2</v>
      </c>
      <c r="C98" s="13">
        <v>4</v>
      </c>
      <c r="D98" s="14">
        <v>44720</v>
      </c>
      <c r="E98" s="52">
        <v>5.96</v>
      </c>
      <c r="F98" s="53">
        <v>4370</v>
      </c>
      <c r="G98" s="54">
        <v>74</v>
      </c>
      <c r="H98" s="55" t="s">
        <v>33</v>
      </c>
      <c r="I98" s="55">
        <v>18.8</v>
      </c>
      <c r="J98" s="53">
        <v>1150</v>
      </c>
      <c r="K98" s="56" t="s">
        <v>34</v>
      </c>
      <c r="L98" s="56" t="s">
        <v>35</v>
      </c>
      <c r="M98" s="56" t="s">
        <v>35</v>
      </c>
      <c r="N98" s="63">
        <v>1080</v>
      </c>
      <c r="O98" s="56" t="s">
        <v>35</v>
      </c>
      <c r="P98" s="56" t="s">
        <v>37</v>
      </c>
      <c r="Q98" s="58" t="s">
        <v>41</v>
      </c>
      <c r="R98" s="56">
        <v>7.4</v>
      </c>
      <c r="S98" s="56" t="s">
        <v>39</v>
      </c>
      <c r="T98" s="56" t="s">
        <v>42</v>
      </c>
      <c r="U98" s="56">
        <v>1320</v>
      </c>
      <c r="V98" s="56"/>
      <c r="W98" s="65">
        <v>681</v>
      </c>
      <c r="X98" s="53">
        <v>203</v>
      </c>
      <c r="Y98" s="56">
        <v>13.8</v>
      </c>
      <c r="Z98" s="56">
        <v>133</v>
      </c>
      <c r="AA98" s="56">
        <v>8.5</v>
      </c>
      <c r="AB98" s="56">
        <v>773</v>
      </c>
      <c r="AC98" s="56">
        <v>102</v>
      </c>
    </row>
    <row r="99" spans="1:29">
      <c r="A99" s="34">
        <v>2</v>
      </c>
      <c r="B99" s="12" t="s">
        <v>2</v>
      </c>
      <c r="C99" s="13">
        <v>4</v>
      </c>
      <c r="D99" s="14">
        <v>44704</v>
      </c>
      <c r="E99" s="52">
        <v>5.99</v>
      </c>
      <c r="F99" s="53">
        <v>4690</v>
      </c>
      <c r="G99" s="54">
        <v>66</v>
      </c>
      <c r="H99" s="55" t="s">
        <v>33</v>
      </c>
      <c r="I99" s="55">
        <v>17.8</v>
      </c>
      <c r="J99" s="53">
        <v>1090</v>
      </c>
      <c r="K99" s="56" t="s">
        <v>34</v>
      </c>
      <c r="L99" s="56" t="s">
        <v>35</v>
      </c>
      <c r="M99" s="56" t="s">
        <v>36</v>
      </c>
      <c r="N99" s="63">
        <v>1020</v>
      </c>
      <c r="O99" s="56">
        <v>3.3</v>
      </c>
      <c r="P99" s="56" t="s">
        <v>37</v>
      </c>
      <c r="Q99" s="58" t="s">
        <v>38</v>
      </c>
      <c r="R99" s="56">
        <v>8</v>
      </c>
      <c r="S99" s="56" t="s">
        <v>39</v>
      </c>
      <c r="T99" s="56" t="s">
        <v>40</v>
      </c>
      <c r="U99" s="56">
        <v>1210</v>
      </c>
      <c r="V99" s="56"/>
      <c r="W99" s="65">
        <v>752</v>
      </c>
      <c r="X99" s="53">
        <v>214</v>
      </c>
      <c r="Y99" s="56">
        <v>12</v>
      </c>
      <c r="Z99" s="56">
        <v>127</v>
      </c>
      <c r="AA99" s="56">
        <v>8.5</v>
      </c>
      <c r="AB99" s="56">
        <v>708</v>
      </c>
      <c r="AC99" s="56">
        <v>93.3</v>
      </c>
    </row>
    <row r="100" spans="1:29">
      <c r="A100" s="34">
        <v>2</v>
      </c>
      <c r="B100" s="12" t="s">
        <v>2</v>
      </c>
      <c r="C100" s="13">
        <v>4</v>
      </c>
      <c r="D100" s="14">
        <v>44676</v>
      </c>
      <c r="E100" s="52">
        <v>5.87</v>
      </c>
      <c r="F100" s="53">
        <v>4200</v>
      </c>
      <c r="G100" s="54">
        <v>62</v>
      </c>
      <c r="H100" s="55" t="s">
        <v>33</v>
      </c>
      <c r="I100" s="55">
        <v>16</v>
      </c>
      <c r="J100" s="53">
        <v>976</v>
      </c>
      <c r="K100" s="56" t="s">
        <v>34</v>
      </c>
      <c r="L100" s="56" t="s">
        <v>35</v>
      </c>
      <c r="M100" s="56" t="s">
        <v>40</v>
      </c>
      <c r="N100" s="63">
        <v>1020</v>
      </c>
      <c r="O100" s="56" t="s">
        <v>40</v>
      </c>
      <c r="P100" s="56" t="s">
        <v>37</v>
      </c>
      <c r="Q100" s="58" t="s">
        <v>49</v>
      </c>
      <c r="R100" s="56">
        <v>6</v>
      </c>
      <c r="S100" s="56" t="s">
        <v>39</v>
      </c>
      <c r="T100" s="56" t="s">
        <v>50</v>
      </c>
      <c r="U100" s="56">
        <v>1140</v>
      </c>
      <c r="V100" s="56"/>
      <c r="W100" s="65">
        <v>558</v>
      </c>
      <c r="X100" s="53">
        <v>202</v>
      </c>
      <c r="Y100" s="56">
        <v>10.199999999999999</v>
      </c>
      <c r="Z100" s="56">
        <v>128</v>
      </c>
      <c r="AA100" s="56">
        <v>8.1999999999999993</v>
      </c>
      <c r="AB100" s="56">
        <v>667</v>
      </c>
      <c r="AC100" s="56">
        <v>89.3</v>
      </c>
    </row>
    <row r="101" spans="1:29">
      <c r="A101" s="34">
        <v>2</v>
      </c>
      <c r="B101" s="12" t="s">
        <v>2</v>
      </c>
      <c r="C101" s="13">
        <v>4</v>
      </c>
      <c r="D101" s="14">
        <v>44641</v>
      </c>
      <c r="E101" s="52">
        <v>5.98</v>
      </c>
      <c r="F101" s="53">
        <v>4120</v>
      </c>
      <c r="G101" s="54">
        <v>43</v>
      </c>
      <c r="H101" s="55" t="s">
        <v>33</v>
      </c>
      <c r="I101" s="56">
        <v>14.6</v>
      </c>
      <c r="J101" s="53">
        <v>891</v>
      </c>
      <c r="K101" s="56" t="s">
        <v>34</v>
      </c>
      <c r="L101" s="56" t="s">
        <v>35</v>
      </c>
      <c r="M101" s="56" t="s">
        <v>35</v>
      </c>
      <c r="N101" s="63">
        <v>950</v>
      </c>
      <c r="O101" s="56" t="s">
        <v>35</v>
      </c>
      <c r="P101" s="56" t="s">
        <v>37</v>
      </c>
      <c r="Q101" s="58" t="s">
        <v>41</v>
      </c>
      <c r="R101" s="56">
        <v>8</v>
      </c>
      <c r="S101" s="56" t="s">
        <v>39</v>
      </c>
      <c r="T101" s="56" t="s">
        <v>42</v>
      </c>
      <c r="U101" s="56">
        <v>1000</v>
      </c>
      <c r="V101" s="56"/>
      <c r="W101" s="65">
        <v>396</v>
      </c>
      <c r="X101" s="53">
        <v>166</v>
      </c>
      <c r="Y101" s="56">
        <v>7.55</v>
      </c>
      <c r="Z101" s="56">
        <v>119</v>
      </c>
      <c r="AA101" s="56">
        <v>6.9</v>
      </c>
      <c r="AB101" s="56">
        <v>582</v>
      </c>
      <c r="AC101" s="56">
        <v>80.7</v>
      </c>
    </row>
    <row r="102" spans="1:29">
      <c r="A102" s="11">
        <v>2</v>
      </c>
      <c r="B102" s="12" t="s">
        <v>2</v>
      </c>
      <c r="C102" s="13">
        <v>4</v>
      </c>
      <c r="D102" s="14">
        <v>44280</v>
      </c>
      <c r="E102" s="52">
        <v>5.61</v>
      </c>
      <c r="F102" s="53">
        <v>5630</v>
      </c>
      <c r="G102" s="54">
        <v>230</v>
      </c>
      <c r="H102" s="55" t="s">
        <v>33</v>
      </c>
      <c r="I102" s="55">
        <v>20.9</v>
      </c>
      <c r="J102" s="53">
        <v>1270</v>
      </c>
      <c r="K102" s="56" t="s">
        <v>34</v>
      </c>
      <c r="L102" s="56" t="s">
        <v>35</v>
      </c>
      <c r="M102" s="56" t="s">
        <v>36</v>
      </c>
      <c r="N102" s="63">
        <v>1250</v>
      </c>
      <c r="O102" s="56" t="s">
        <v>36</v>
      </c>
      <c r="P102" s="56">
        <v>1.47</v>
      </c>
      <c r="Q102" s="58" t="s">
        <v>38</v>
      </c>
      <c r="R102" s="56" t="s">
        <v>53</v>
      </c>
      <c r="S102" s="56" t="s">
        <v>39</v>
      </c>
      <c r="T102" s="56" t="s">
        <v>40</v>
      </c>
      <c r="U102" s="56">
        <v>1720</v>
      </c>
      <c r="V102" s="56"/>
      <c r="W102" s="65">
        <v>513</v>
      </c>
      <c r="X102" s="53">
        <v>208</v>
      </c>
      <c r="Y102" s="56">
        <v>19.899999999999999</v>
      </c>
      <c r="Z102" s="56">
        <v>122</v>
      </c>
      <c r="AA102" s="56">
        <v>11.1</v>
      </c>
      <c r="AB102" s="56">
        <v>1030</v>
      </c>
      <c r="AC102" s="56">
        <v>120</v>
      </c>
    </row>
    <row r="103" spans="1:29">
      <c r="A103" s="11">
        <v>2</v>
      </c>
      <c r="B103" s="12" t="s">
        <v>2</v>
      </c>
      <c r="C103" s="13">
        <v>4</v>
      </c>
      <c r="D103" s="14">
        <v>44249</v>
      </c>
      <c r="E103" s="52">
        <v>5.52</v>
      </c>
      <c r="F103" s="53">
        <v>5920</v>
      </c>
      <c r="G103" s="54">
        <v>670</v>
      </c>
      <c r="H103" s="55" t="s">
        <v>33</v>
      </c>
      <c r="I103" s="55">
        <v>23.3</v>
      </c>
      <c r="J103" s="53">
        <v>1420</v>
      </c>
      <c r="K103" s="56" t="s">
        <v>34</v>
      </c>
      <c r="L103" s="56" t="s">
        <v>35</v>
      </c>
      <c r="M103" s="56" t="s">
        <v>36</v>
      </c>
      <c r="N103" s="63">
        <v>1540</v>
      </c>
      <c r="O103" s="56">
        <v>7.9</v>
      </c>
      <c r="P103" s="56">
        <v>3.28</v>
      </c>
      <c r="Q103" s="58" t="s">
        <v>38</v>
      </c>
      <c r="R103" s="56" t="s">
        <v>54</v>
      </c>
      <c r="S103" s="56" t="s">
        <v>39</v>
      </c>
      <c r="T103" s="56" t="s">
        <v>40</v>
      </c>
      <c r="U103" s="56">
        <v>1870</v>
      </c>
      <c r="V103" s="56"/>
      <c r="W103" s="65">
        <v>417</v>
      </c>
      <c r="X103" s="53">
        <v>207</v>
      </c>
      <c r="Y103" s="56">
        <v>21.7</v>
      </c>
      <c r="Z103" s="56">
        <v>136</v>
      </c>
      <c r="AA103" s="56">
        <v>15.4</v>
      </c>
      <c r="AB103" s="56">
        <v>1130</v>
      </c>
      <c r="AC103" s="56">
        <v>127</v>
      </c>
    </row>
    <row r="104" spans="1:29">
      <c r="A104" s="11">
        <v>2</v>
      </c>
      <c r="B104" s="12" t="s">
        <v>2</v>
      </c>
      <c r="C104" s="13">
        <v>4</v>
      </c>
      <c r="D104" s="14">
        <v>44217</v>
      </c>
      <c r="E104" s="52">
        <v>4.8099999999999996</v>
      </c>
      <c r="F104" s="53">
        <v>6760</v>
      </c>
      <c r="G104" s="54">
        <v>1420</v>
      </c>
      <c r="H104" s="55" t="s">
        <v>33</v>
      </c>
      <c r="I104" s="55">
        <v>0.8</v>
      </c>
      <c r="J104" s="53">
        <v>49</v>
      </c>
      <c r="K104" s="56" t="s">
        <v>34</v>
      </c>
      <c r="L104" s="56" t="s">
        <v>35</v>
      </c>
      <c r="M104" s="56" t="s">
        <v>35</v>
      </c>
      <c r="N104" s="63">
        <v>1540</v>
      </c>
      <c r="O104" s="56">
        <v>16</v>
      </c>
      <c r="P104" s="56">
        <v>3.2</v>
      </c>
      <c r="Q104" s="58" t="s">
        <v>41</v>
      </c>
      <c r="R104" s="56" t="s">
        <v>57</v>
      </c>
      <c r="S104" s="56" t="s">
        <v>39</v>
      </c>
      <c r="T104" s="56" t="s">
        <v>42</v>
      </c>
      <c r="U104" s="56">
        <v>1850</v>
      </c>
      <c r="V104" s="56"/>
      <c r="W104" s="65">
        <v>723</v>
      </c>
      <c r="X104" s="53">
        <v>223</v>
      </c>
      <c r="Y104" s="56">
        <v>22</v>
      </c>
      <c r="Z104" s="56">
        <v>135</v>
      </c>
      <c r="AA104" s="56">
        <v>23.1</v>
      </c>
      <c r="AB104" s="56">
        <v>1110</v>
      </c>
      <c r="AC104" s="56">
        <v>129</v>
      </c>
    </row>
    <row r="105" spans="1:29">
      <c r="A105" s="11">
        <v>2</v>
      </c>
      <c r="B105" s="12" t="s">
        <v>2</v>
      </c>
      <c r="C105" s="13">
        <v>4</v>
      </c>
      <c r="D105" s="14">
        <v>44186</v>
      </c>
      <c r="E105" s="52">
        <v>5.63</v>
      </c>
      <c r="F105" s="53">
        <v>5930</v>
      </c>
      <c r="G105" s="54">
        <v>113</v>
      </c>
      <c r="H105" s="55" t="s">
        <v>33</v>
      </c>
      <c r="I105" s="55">
        <v>24.4</v>
      </c>
      <c r="J105" s="53">
        <v>1490</v>
      </c>
      <c r="K105" s="56" t="s">
        <v>34</v>
      </c>
      <c r="L105" s="53" t="s">
        <v>35</v>
      </c>
      <c r="M105" s="56" t="s">
        <v>35</v>
      </c>
      <c r="N105" s="63">
        <v>1410</v>
      </c>
      <c r="O105" s="56">
        <v>15</v>
      </c>
      <c r="P105" s="56" t="s">
        <v>37</v>
      </c>
      <c r="Q105" s="58" t="s">
        <v>41</v>
      </c>
      <c r="R105" s="56">
        <v>8</v>
      </c>
      <c r="S105" s="56" t="s">
        <v>39</v>
      </c>
      <c r="T105" s="56" t="s">
        <v>42</v>
      </c>
      <c r="U105" s="56">
        <v>1860</v>
      </c>
      <c r="V105" s="87"/>
      <c r="W105" s="65">
        <v>1300</v>
      </c>
      <c r="X105" s="53">
        <v>247</v>
      </c>
      <c r="Y105" s="53">
        <v>22.4</v>
      </c>
      <c r="Z105" s="53">
        <v>131</v>
      </c>
      <c r="AA105" s="53">
        <v>15</v>
      </c>
      <c r="AB105" s="53">
        <v>1120</v>
      </c>
      <c r="AC105" s="53">
        <v>127</v>
      </c>
    </row>
    <row r="106" spans="1:29">
      <c r="A106" s="11">
        <v>2</v>
      </c>
      <c r="B106" s="12" t="s">
        <v>2</v>
      </c>
      <c r="C106" s="13">
        <v>4</v>
      </c>
      <c r="D106" s="14">
        <v>44160</v>
      </c>
      <c r="E106" s="52">
        <v>5.37</v>
      </c>
      <c r="F106" s="53">
        <v>5110</v>
      </c>
      <c r="G106" s="54">
        <v>460</v>
      </c>
      <c r="H106" s="55" t="s">
        <v>33</v>
      </c>
      <c r="I106" s="55">
        <v>26.7</v>
      </c>
      <c r="J106" s="53">
        <v>1630</v>
      </c>
      <c r="K106" s="56" t="s">
        <v>34</v>
      </c>
      <c r="L106" s="53" t="s">
        <v>35</v>
      </c>
      <c r="M106" s="56" t="s">
        <v>36</v>
      </c>
      <c r="N106" s="63">
        <v>906</v>
      </c>
      <c r="O106" s="56">
        <v>14.1</v>
      </c>
      <c r="P106" s="56" t="s">
        <v>37</v>
      </c>
      <c r="Q106" s="58" t="s">
        <v>38</v>
      </c>
      <c r="R106" s="56">
        <v>48</v>
      </c>
      <c r="S106" s="56" t="s">
        <v>39</v>
      </c>
      <c r="T106" s="56">
        <v>5</v>
      </c>
      <c r="U106" s="56">
        <v>1700</v>
      </c>
      <c r="V106" s="87"/>
      <c r="W106" s="65">
        <v>694</v>
      </c>
      <c r="X106" s="53">
        <v>300</v>
      </c>
      <c r="Y106" s="53">
        <v>17.3</v>
      </c>
      <c r="Z106" s="53">
        <v>123</v>
      </c>
      <c r="AA106" s="53">
        <v>24.7</v>
      </c>
      <c r="AB106" s="53">
        <v>1010</v>
      </c>
      <c r="AC106" s="53">
        <v>126</v>
      </c>
    </row>
    <row r="107" spans="1:29">
      <c r="A107" s="11">
        <v>2</v>
      </c>
      <c r="B107" s="12" t="s">
        <v>2</v>
      </c>
      <c r="C107" s="13">
        <v>4</v>
      </c>
      <c r="D107" s="14">
        <v>43900</v>
      </c>
      <c r="E107" s="88">
        <v>5.47</v>
      </c>
      <c r="F107" s="89">
        <v>2360</v>
      </c>
      <c r="G107" s="93"/>
      <c r="H107" s="94"/>
      <c r="I107" s="94"/>
      <c r="J107" s="89"/>
      <c r="K107" s="94"/>
      <c r="L107" s="94"/>
      <c r="M107" s="94"/>
      <c r="N107" s="91"/>
      <c r="O107" s="87"/>
      <c r="P107" s="87"/>
      <c r="Q107" s="95"/>
      <c r="R107" s="87"/>
      <c r="S107" s="87"/>
      <c r="T107" s="94"/>
      <c r="U107" s="94"/>
      <c r="V107" s="87"/>
      <c r="W107" s="59"/>
      <c r="X107" s="89"/>
      <c r="Y107" s="94"/>
      <c r="Z107" s="94"/>
      <c r="AA107" s="94"/>
      <c r="AB107" s="94"/>
      <c r="AC107" s="94"/>
    </row>
    <row r="108" spans="1:29">
      <c r="A108" s="11">
        <v>2</v>
      </c>
      <c r="B108" s="12" t="s">
        <v>2</v>
      </c>
      <c r="C108" s="13">
        <v>4</v>
      </c>
      <c r="D108" s="14">
        <v>43076</v>
      </c>
      <c r="E108" s="88">
        <v>3.85</v>
      </c>
      <c r="F108" s="89">
        <v>5460</v>
      </c>
      <c r="G108" s="93"/>
      <c r="H108" s="94"/>
      <c r="I108" s="94"/>
      <c r="J108" s="89"/>
      <c r="K108" s="94"/>
      <c r="L108" s="94"/>
      <c r="M108" s="94"/>
      <c r="N108" s="91">
        <v>1600</v>
      </c>
      <c r="O108" s="94"/>
      <c r="P108" s="94"/>
      <c r="Q108" s="95"/>
      <c r="R108" s="94"/>
      <c r="S108" s="94"/>
      <c r="T108" s="94"/>
      <c r="U108" s="94"/>
      <c r="V108" s="87"/>
      <c r="W108" s="59"/>
      <c r="X108" s="89"/>
      <c r="Y108" s="94"/>
      <c r="Z108" s="94"/>
      <c r="AA108" s="94"/>
      <c r="AB108" s="94"/>
      <c r="AC108" s="94"/>
    </row>
    <row r="109" spans="1:29">
      <c r="A109" s="11">
        <v>2</v>
      </c>
      <c r="B109" s="12" t="s">
        <v>2</v>
      </c>
      <c r="C109" s="13">
        <v>4</v>
      </c>
      <c r="D109" s="14">
        <v>42951</v>
      </c>
      <c r="E109" s="88">
        <v>5.58</v>
      </c>
      <c r="F109" s="89">
        <v>8070</v>
      </c>
      <c r="G109" s="93"/>
      <c r="H109" s="94"/>
      <c r="I109" s="94"/>
      <c r="J109" s="89"/>
      <c r="K109" s="94"/>
      <c r="L109" s="94"/>
      <c r="M109" s="94"/>
      <c r="N109" s="91">
        <v>1770</v>
      </c>
      <c r="O109" s="94"/>
      <c r="P109" s="94"/>
      <c r="Q109" s="95"/>
      <c r="R109" s="94"/>
      <c r="S109" s="94"/>
      <c r="T109" s="94"/>
      <c r="U109" s="94"/>
      <c r="V109" s="87">
        <v>0.12</v>
      </c>
      <c r="W109" s="59"/>
      <c r="X109" s="89"/>
      <c r="Y109" s="94"/>
      <c r="Z109" s="94"/>
      <c r="AA109" s="94"/>
      <c r="AB109" s="94"/>
      <c r="AC109" s="94"/>
    </row>
    <row r="110" spans="1:29">
      <c r="A110" s="11">
        <v>2</v>
      </c>
      <c r="B110" s="12" t="s">
        <v>2</v>
      </c>
      <c r="C110" s="13">
        <v>4</v>
      </c>
      <c r="D110" s="14">
        <v>42894</v>
      </c>
      <c r="E110" s="88"/>
      <c r="F110" s="89"/>
      <c r="G110" s="93"/>
      <c r="H110" s="94"/>
      <c r="I110" s="94"/>
      <c r="J110" s="89"/>
      <c r="K110" s="94"/>
      <c r="L110" s="94"/>
      <c r="M110" s="94"/>
      <c r="N110" s="91">
        <v>1660</v>
      </c>
      <c r="O110" s="94"/>
      <c r="P110" s="94"/>
      <c r="Q110" s="95"/>
      <c r="R110" s="94"/>
      <c r="S110" s="94"/>
      <c r="T110" s="94"/>
      <c r="U110" s="94"/>
      <c r="V110" s="87"/>
      <c r="W110" s="59"/>
      <c r="X110" s="89"/>
      <c r="Y110" s="94"/>
      <c r="Z110" s="94"/>
      <c r="AA110" s="94"/>
      <c r="AB110" s="94"/>
      <c r="AC110" s="94"/>
    </row>
    <row r="111" spans="1:29" ht="22.8">
      <c r="A111" s="11">
        <v>2</v>
      </c>
      <c r="B111" s="12" t="s">
        <v>2</v>
      </c>
      <c r="C111" s="13">
        <v>4</v>
      </c>
      <c r="D111" s="14">
        <v>42808</v>
      </c>
      <c r="E111" s="88">
        <v>5.55</v>
      </c>
      <c r="F111" s="89">
        <v>8350</v>
      </c>
      <c r="G111" s="93">
        <v>15100</v>
      </c>
      <c r="H111" s="94" t="s">
        <v>33</v>
      </c>
      <c r="I111" s="94">
        <v>32.1</v>
      </c>
      <c r="J111" s="89">
        <v>1960</v>
      </c>
      <c r="K111" s="94" t="s">
        <v>34</v>
      </c>
      <c r="L111" s="94" t="s">
        <v>35</v>
      </c>
      <c r="M111" s="94" t="s">
        <v>36</v>
      </c>
      <c r="N111" s="91">
        <v>1780</v>
      </c>
      <c r="O111" s="94">
        <v>12.9</v>
      </c>
      <c r="P111" s="94">
        <v>0.57999999999999996</v>
      </c>
      <c r="Q111" s="95" t="s">
        <v>38</v>
      </c>
      <c r="R111" s="94">
        <v>7</v>
      </c>
      <c r="S111" s="94">
        <v>0.01</v>
      </c>
      <c r="T111" s="94" t="s">
        <v>40</v>
      </c>
      <c r="U111" s="94"/>
      <c r="V111" s="87"/>
      <c r="W111" s="59"/>
      <c r="X111" s="89">
        <v>454</v>
      </c>
      <c r="Y111" s="94">
        <v>29.8</v>
      </c>
      <c r="Z111" s="94">
        <v>145</v>
      </c>
      <c r="AA111" s="94">
        <v>18.2</v>
      </c>
      <c r="AB111" s="94">
        <v>1460</v>
      </c>
      <c r="AC111" s="94">
        <v>170</v>
      </c>
    </row>
    <row r="112" spans="1:29" ht="22.8">
      <c r="A112" s="11">
        <v>2</v>
      </c>
      <c r="B112" s="12" t="s">
        <v>2</v>
      </c>
      <c r="C112" s="13">
        <v>4</v>
      </c>
      <c r="D112" s="14">
        <v>42619</v>
      </c>
      <c r="E112" s="88">
        <v>5.81</v>
      </c>
      <c r="F112" s="89">
        <v>8310</v>
      </c>
      <c r="G112" s="93">
        <v>750</v>
      </c>
      <c r="H112" s="94" t="s">
        <v>33</v>
      </c>
      <c r="I112" s="94">
        <v>32.4</v>
      </c>
      <c r="J112" s="89">
        <v>1980</v>
      </c>
      <c r="K112" s="94" t="s">
        <v>34</v>
      </c>
      <c r="L112" s="94" t="s">
        <v>35</v>
      </c>
      <c r="M112" s="94" t="s">
        <v>36</v>
      </c>
      <c r="N112" s="91">
        <v>1840</v>
      </c>
      <c r="O112" s="94">
        <v>17.399999999999999</v>
      </c>
      <c r="P112" s="94" t="s">
        <v>37</v>
      </c>
      <c r="Q112" s="95">
        <v>80</v>
      </c>
      <c r="R112" s="94" t="s">
        <v>53</v>
      </c>
      <c r="S112" s="94" t="s">
        <v>39</v>
      </c>
      <c r="T112" s="94" t="s">
        <v>40</v>
      </c>
      <c r="U112" s="94">
        <v>2560</v>
      </c>
      <c r="V112" s="87">
        <v>0.65</v>
      </c>
      <c r="W112" s="59"/>
      <c r="X112" s="89">
        <v>134</v>
      </c>
      <c r="Y112" s="94">
        <v>31.3</v>
      </c>
      <c r="Z112" s="94">
        <v>148</v>
      </c>
      <c r="AA112" s="94">
        <v>20.7</v>
      </c>
      <c r="AB112" s="94">
        <v>1540</v>
      </c>
      <c r="AC112" s="94">
        <v>177</v>
      </c>
    </row>
    <row r="113" spans="1:29" ht="22.8">
      <c r="A113" s="11">
        <v>2</v>
      </c>
      <c r="B113" s="12" t="s">
        <v>2</v>
      </c>
      <c r="C113" s="13">
        <v>4</v>
      </c>
      <c r="D113" s="14">
        <v>42579</v>
      </c>
      <c r="E113" s="88">
        <v>5.95</v>
      </c>
      <c r="F113" s="89">
        <v>8220</v>
      </c>
      <c r="G113" s="93">
        <v>440</v>
      </c>
      <c r="H113" s="94" t="s">
        <v>33</v>
      </c>
      <c r="I113" s="94">
        <v>38.9</v>
      </c>
      <c r="J113" s="89">
        <v>2370</v>
      </c>
      <c r="K113" s="94" t="s">
        <v>34</v>
      </c>
      <c r="L113" s="94" t="s">
        <v>35</v>
      </c>
      <c r="M113" s="94" t="s">
        <v>36</v>
      </c>
      <c r="N113" s="91">
        <v>1710</v>
      </c>
      <c r="O113" s="94">
        <v>16.3</v>
      </c>
      <c r="P113" s="94">
        <v>0.09</v>
      </c>
      <c r="Q113" s="95">
        <v>100</v>
      </c>
      <c r="R113" s="94">
        <v>2</v>
      </c>
      <c r="S113" s="94">
        <v>0.01</v>
      </c>
      <c r="T113" s="94" t="s">
        <v>40</v>
      </c>
      <c r="U113" s="94">
        <v>2530</v>
      </c>
      <c r="V113" s="87">
        <v>1.65</v>
      </c>
      <c r="W113" s="59"/>
      <c r="X113" s="89">
        <v>141</v>
      </c>
      <c r="Y113" s="94">
        <v>33.200000000000003</v>
      </c>
      <c r="Z113" s="94">
        <v>157</v>
      </c>
      <c r="AA113" s="94">
        <v>10.5</v>
      </c>
      <c r="AB113" s="94">
        <v>1520</v>
      </c>
      <c r="AC113" s="94">
        <v>174</v>
      </c>
    </row>
    <row r="114" spans="1:29">
      <c r="A114" s="11">
        <v>2</v>
      </c>
      <c r="B114" s="12" t="s">
        <v>2</v>
      </c>
      <c r="C114" s="13">
        <v>4</v>
      </c>
      <c r="D114" s="14">
        <v>42534</v>
      </c>
      <c r="E114" s="88">
        <v>5.95</v>
      </c>
      <c r="F114" s="89">
        <v>8600</v>
      </c>
      <c r="G114" s="93">
        <v>800</v>
      </c>
      <c r="H114" s="94" t="s">
        <v>33</v>
      </c>
      <c r="I114" s="94">
        <v>50.9</v>
      </c>
      <c r="J114" s="89">
        <v>3100</v>
      </c>
      <c r="K114" s="94" t="s">
        <v>34</v>
      </c>
      <c r="L114" s="94" t="s">
        <v>35</v>
      </c>
      <c r="M114" s="94" t="s">
        <v>46</v>
      </c>
      <c r="N114" s="91">
        <v>1940</v>
      </c>
      <c r="O114" s="94">
        <v>18</v>
      </c>
      <c r="P114" s="94">
        <v>42</v>
      </c>
      <c r="Q114" s="95">
        <v>60</v>
      </c>
      <c r="R114" s="94">
        <v>3.3</v>
      </c>
      <c r="S114" s="94">
        <v>0.1</v>
      </c>
      <c r="T114" s="94" t="s">
        <v>53</v>
      </c>
      <c r="U114" s="94">
        <v>2500</v>
      </c>
      <c r="V114" s="87">
        <v>0.63</v>
      </c>
      <c r="W114" s="59"/>
      <c r="X114" s="89">
        <v>133</v>
      </c>
      <c r="Y114" s="94">
        <v>33.799999999999997</v>
      </c>
      <c r="Z114" s="94">
        <v>143</v>
      </c>
      <c r="AA114" s="94">
        <v>30.1</v>
      </c>
      <c r="AB114" s="94">
        <v>1500</v>
      </c>
      <c r="AC114" s="94">
        <v>172</v>
      </c>
    </row>
    <row r="115" spans="1:29" ht="22.8">
      <c r="A115" s="11">
        <v>2</v>
      </c>
      <c r="B115" s="12" t="s">
        <v>2</v>
      </c>
      <c r="C115" s="13">
        <v>4</v>
      </c>
      <c r="D115" s="14">
        <v>42508</v>
      </c>
      <c r="E115" s="88">
        <v>6.06</v>
      </c>
      <c r="F115" s="89">
        <v>8340</v>
      </c>
      <c r="G115" s="93">
        <v>600</v>
      </c>
      <c r="H115" s="94" t="s">
        <v>33</v>
      </c>
      <c r="I115" s="94">
        <v>47.7</v>
      </c>
      <c r="J115" s="89">
        <v>2910</v>
      </c>
      <c r="K115" s="94" t="s">
        <v>34</v>
      </c>
      <c r="L115" s="94" t="s">
        <v>35</v>
      </c>
      <c r="M115" s="94" t="s">
        <v>36</v>
      </c>
      <c r="N115" s="91">
        <v>487</v>
      </c>
      <c r="O115" s="94">
        <v>4.9000000000000004</v>
      </c>
      <c r="P115" s="94" t="s">
        <v>37</v>
      </c>
      <c r="Q115" s="95" t="s">
        <v>58</v>
      </c>
      <c r="R115" s="94" t="s">
        <v>55</v>
      </c>
      <c r="S115" s="94" t="s">
        <v>39</v>
      </c>
      <c r="T115" s="94" t="s">
        <v>40</v>
      </c>
      <c r="U115" s="94">
        <v>2610</v>
      </c>
      <c r="V115" s="87">
        <v>0.08</v>
      </c>
      <c r="W115" s="59"/>
      <c r="X115" s="89">
        <v>117</v>
      </c>
      <c r="Y115" s="94">
        <v>32.799999999999997</v>
      </c>
      <c r="Z115" s="94">
        <v>162</v>
      </c>
      <c r="AA115" s="94">
        <v>22.7</v>
      </c>
      <c r="AB115" s="94">
        <v>1570</v>
      </c>
      <c r="AC115" s="94">
        <v>179</v>
      </c>
    </row>
    <row r="116" spans="1:29" ht="22.8">
      <c r="A116" s="11">
        <v>2</v>
      </c>
      <c r="B116" s="12" t="s">
        <v>2</v>
      </c>
      <c r="C116" s="13">
        <v>4</v>
      </c>
      <c r="D116" s="14">
        <v>42492</v>
      </c>
      <c r="E116" s="88">
        <v>6.03</v>
      </c>
      <c r="F116" s="89">
        <v>7300</v>
      </c>
      <c r="G116" s="93">
        <v>400</v>
      </c>
      <c r="H116" s="94" t="s">
        <v>33</v>
      </c>
      <c r="I116" s="94">
        <v>38.5</v>
      </c>
      <c r="J116" s="89">
        <v>2350</v>
      </c>
      <c r="K116" s="94" t="s">
        <v>34</v>
      </c>
      <c r="L116" s="94" t="s">
        <v>35</v>
      </c>
      <c r="M116" s="94" t="s">
        <v>36</v>
      </c>
      <c r="N116" s="91">
        <v>1660</v>
      </c>
      <c r="O116" s="94">
        <v>16.100000000000001</v>
      </c>
      <c r="P116" s="94" t="s">
        <v>33</v>
      </c>
      <c r="Q116" s="95">
        <v>70</v>
      </c>
      <c r="R116" s="94" t="s">
        <v>35</v>
      </c>
      <c r="S116" s="94">
        <v>0.01</v>
      </c>
      <c r="T116" s="94" t="s">
        <v>40</v>
      </c>
      <c r="U116" s="94">
        <v>2230</v>
      </c>
      <c r="V116" s="87">
        <v>0.02</v>
      </c>
      <c r="W116" s="59"/>
      <c r="X116" s="89">
        <v>99.3</v>
      </c>
      <c r="Y116" s="94">
        <v>29.7</v>
      </c>
      <c r="Z116" s="94">
        <v>143</v>
      </c>
      <c r="AA116" s="94">
        <v>25.3</v>
      </c>
      <c r="AB116" s="94">
        <v>1340</v>
      </c>
      <c r="AC116" s="94">
        <v>156</v>
      </c>
    </row>
    <row r="117" spans="1:29" ht="22.8">
      <c r="A117" s="11">
        <v>2</v>
      </c>
      <c r="B117" s="12" t="s">
        <v>2</v>
      </c>
      <c r="C117" s="13">
        <v>4</v>
      </c>
      <c r="D117" s="14">
        <v>42479</v>
      </c>
      <c r="E117" s="88">
        <v>6.68</v>
      </c>
      <c r="F117" s="89">
        <v>7670</v>
      </c>
      <c r="G117" s="93">
        <v>84</v>
      </c>
      <c r="H117" s="94" t="s">
        <v>33</v>
      </c>
      <c r="I117" s="94">
        <v>30.6</v>
      </c>
      <c r="J117" s="89">
        <v>1870</v>
      </c>
      <c r="K117" s="94" t="s">
        <v>34</v>
      </c>
      <c r="L117" s="94" t="s">
        <v>35</v>
      </c>
      <c r="M117" s="94" t="s">
        <v>36</v>
      </c>
      <c r="N117" s="91">
        <v>1680</v>
      </c>
      <c r="O117" s="94">
        <v>17.399999999999999</v>
      </c>
      <c r="P117" s="94" t="s">
        <v>37</v>
      </c>
      <c r="Q117" s="95">
        <v>60</v>
      </c>
      <c r="R117" s="94">
        <v>5.9</v>
      </c>
      <c r="S117" s="94" t="s">
        <v>39</v>
      </c>
      <c r="T117" s="94" t="s">
        <v>40</v>
      </c>
      <c r="U117" s="94">
        <v>2470</v>
      </c>
      <c r="V117" s="87">
        <v>2.3199999999999998</v>
      </c>
      <c r="W117" s="59"/>
      <c r="X117" s="89">
        <v>108</v>
      </c>
      <c r="Y117" s="94">
        <v>31.7</v>
      </c>
      <c r="Z117" s="94">
        <v>157</v>
      </c>
      <c r="AA117" s="94">
        <v>4.0999999999999996</v>
      </c>
      <c r="AB117" s="94">
        <v>1515</v>
      </c>
      <c r="AC117" s="94">
        <v>153</v>
      </c>
    </row>
    <row r="118" spans="1:29" ht="15" thickBot="1">
      <c r="A118" s="15">
        <v>2</v>
      </c>
      <c r="B118" s="16" t="s">
        <v>2</v>
      </c>
      <c r="C118" s="17">
        <v>4</v>
      </c>
      <c r="D118" s="18">
        <v>42445</v>
      </c>
      <c r="E118" s="66">
        <v>7.25</v>
      </c>
      <c r="F118" s="67">
        <v>2010</v>
      </c>
      <c r="G118" s="68">
        <v>10</v>
      </c>
      <c r="H118" s="69"/>
      <c r="I118" s="69"/>
      <c r="J118" s="67"/>
      <c r="K118" s="69"/>
      <c r="L118" s="69"/>
      <c r="M118" s="69"/>
      <c r="N118" s="70">
        <v>292</v>
      </c>
      <c r="O118" s="69"/>
      <c r="P118" s="69"/>
      <c r="Q118" s="72">
        <v>50</v>
      </c>
      <c r="R118" s="69">
        <v>1.9</v>
      </c>
      <c r="S118" s="69"/>
      <c r="T118" s="69" t="s">
        <v>40</v>
      </c>
      <c r="U118" s="69">
        <v>378</v>
      </c>
      <c r="V118" s="71"/>
      <c r="W118" s="73"/>
      <c r="X118" s="67">
        <v>0.78</v>
      </c>
      <c r="Y118" s="69">
        <v>1.54</v>
      </c>
      <c r="Z118" s="69">
        <v>49.5</v>
      </c>
      <c r="AA118" s="69">
        <v>3.4</v>
      </c>
      <c r="AB118" s="69">
        <v>209</v>
      </c>
      <c r="AC118" s="69">
        <v>37.200000000000003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D40DF-82EC-43C4-8B9D-2E61744799CB}">
  <dimension ref="A1:AC49"/>
  <sheetViews>
    <sheetView workbookViewId="0">
      <selection activeCell="F2" sqref="F2"/>
    </sheetView>
  </sheetViews>
  <sheetFormatPr defaultRowHeight="14.4"/>
  <cols>
    <col min="3" max="4" width="12.33203125" customWidth="1"/>
    <col min="6" max="6" width="14.44140625" customWidth="1"/>
  </cols>
  <sheetData>
    <row r="1" spans="1:29" ht="51.6" thickBot="1">
      <c r="A1" s="1" t="s">
        <v>0</v>
      </c>
      <c r="B1" s="218" t="s">
        <v>63</v>
      </c>
      <c r="C1" s="99" t="s">
        <v>62</v>
      </c>
      <c r="D1" s="2" t="s">
        <v>1</v>
      </c>
      <c r="E1" s="36" t="s">
        <v>4</v>
      </c>
      <c r="F1" s="37" t="s">
        <v>69</v>
      </c>
      <c r="G1" s="36" t="s">
        <v>5</v>
      </c>
      <c r="H1" s="36" t="s">
        <v>6</v>
      </c>
      <c r="I1" s="36" t="s">
        <v>7</v>
      </c>
      <c r="J1" s="37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8" t="s">
        <v>15</v>
      </c>
      <c r="R1" s="36" t="s">
        <v>16</v>
      </c>
      <c r="S1" s="36" t="s">
        <v>17</v>
      </c>
      <c r="T1" s="36" t="s">
        <v>18</v>
      </c>
      <c r="U1" s="36" t="s">
        <v>19</v>
      </c>
      <c r="V1" s="36" t="s">
        <v>20</v>
      </c>
      <c r="W1" s="37" t="s">
        <v>21</v>
      </c>
      <c r="X1" s="37" t="s">
        <v>22</v>
      </c>
      <c r="Y1" s="36" t="s">
        <v>23</v>
      </c>
      <c r="Z1" s="36" t="s">
        <v>24</v>
      </c>
      <c r="AA1" s="36" t="s">
        <v>25</v>
      </c>
      <c r="AB1" s="36" t="s">
        <v>26</v>
      </c>
      <c r="AC1" s="36" t="s">
        <v>27</v>
      </c>
    </row>
    <row r="2" spans="1:29" ht="15.6" thickBot="1">
      <c r="A2" s="3"/>
      <c r="B2" s="4"/>
      <c r="C2" s="12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29" ht="15" thickBot="1">
      <c r="A3" s="162">
        <v>1</v>
      </c>
      <c r="B3" s="163" t="s">
        <v>61</v>
      </c>
      <c r="C3" s="173">
        <v>1</v>
      </c>
      <c r="D3" s="6">
        <v>44159</v>
      </c>
      <c r="E3" s="175">
        <v>7.54</v>
      </c>
      <c r="F3" s="176">
        <v>1740</v>
      </c>
      <c r="G3" s="177">
        <v>3.9</v>
      </c>
      <c r="H3" s="178" t="s">
        <v>33</v>
      </c>
      <c r="I3" s="176">
        <v>8.6999999999999993</v>
      </c>
      <c r="J3" s="176">
        <v>531</v>
      </c>
      <c r="K3" s="179" t="s">
        <v>34</v>
      </c>
      <c r="L3" s="176" t="s">
        <v>35</v>
      </c>
      <c r="M3" s="176" t="s">
        <v>36</v>
      </c>
      <c r="N3" s="180">
        <v>219</v>
      </c>
      <c r="O3" s="176" t="s">
        <v>36</v>
      </c>
      <c r="P3" s="176" t="s">
        <v>37</v>
      </c>
      <c r="Q3" s="176">
        <v>380</v>
      </c>
      <c r="R3" s="176">
        <v>2.1</v>
      </c>
      <c r="S3" s="176" t="s">
        <v>39</v>
      </c>
      <c r="T3" s="176" t="s">
        <v>40</v>
      </c>
      <c r="U3" s="176">
        <v>382</v>
      </c>
      <c r="V3" s="178"/>
      <c r="W3" s="181">
        <v>1.3</v>
      </c>
      <c r="X3" s="179">
        <v>1.8</v>
      </c>
      <c r="Y3" s="179">
        <v>3.07</v>
      </c>
      <c r="Z3" s="179">
        <v>193</v>
      </c>
      <c r="AA3" s="179">
        <v>4.5999999999999996</v>
      </c>
      <c r="AB3" s="179">
        <v>192</v>
      </c>
      <c r="AC3" s="179">
        <v>49.2</v>
      </c>
    </row>
    <row r="4" spans="1:29" ht="15" thickBot="1">
      <c r="A4" s="164">
        <v>1</v>
      </c>
      <c r="B4" s="165" t="s">
        <v>61</v>
      </c>
      <c r="C4" s="166">
        <v>2</v>
      </c>
      <c r="D4" s="167">
        <v>46085</v>
      </c>
      <c r="E4" s="182"/>
      <c r="F4" s="183"/>
      <c r="G4" s="184"/>
      <c r="H4" s="185"/>
      <c r="I4" s="183"/>
      <c r="J4" s="183"/>
      <c r="K4" s="186"/>
      <c r="L4" s="183"/>
      <c r="M4" s="183"/>
      <c r="N4" s="187">
        <v>523</v>
      </c>
      <c r="O4" s="183"/>
      <c r="P4" s="183"/>
      <c r="Q4" s="183"/>
      <c r="R4" s="183"/>
      <c r="S4" s="183"/>
      <c r="T4" s="183"/>
      <c r="U4" s="183"/>
      <c r="V4" s="185"/>
      <c r="W4" s="188">
        <v>220</v>
      </c>
      <c r="X4" s="186"/>
      <c r="Y4" s="186"/>
      <c r="Z4" s="186"/>
      <c r="AA4" s="186"/>
      <c r="AB4" s="186"/>
      <c r="AC4" s="186"/>
    </row>
    <row r="5" spans="1:29">
      <c r="A5" s="33">
        <v>1</v>
      </c>
      <c r="B5" s="20" t="s">
        <v>61</v>
      </c>
      <c r="C5" s="21">
        <v>2</v>
      </c>
      <c r="D5" s="168">
        <v>45971</v>
      </c>
      <c r="E5" s="74">
        <v>6.76</v>
      </c>
      <c r="F5" s="78">
        <v>2120</v>
      </c>
      <c r="G5" s="76">
        <v>120</v>
      </c>
      <c r="H5" s="77" t="s">
        <v>33</v>
      </c>
      <c r="I5" s="78">
        <v>5.8</v>
      </c>
      <c r="J5" s="78">
        <v>354</v>
      </c>
      <c r="K5" s="78" t="s">
        <v>34</v>
      </c>
      <c r="L5" s="78" t="s">
        <v>35</v>
      </c>
      <c r="M5" s="78" t="s">
        <v>36</v>
      </c>
      <c r="N5" s="120">
        <v>568</v>
      </c>
      <c r="O5" s="78">
        <v>0.6</v>
      </c>
      <c r="P5" s="78" t="s">
        <v>37</v>
      </c>
      <c r="Q5" s="78">
        <v>190</v>
      </c>
      <c r="R5" s="78">
        <v>5.7</v>
      </c>
      <c r="S5" s="78" t="s">
        <v>39</v>
      </c>
      <c r="T5" s="78" t="s">
        <v>40</v>
      </c>
      <c r="U5" s="78">
        <v>620</v>
      </c>
      <c r="V5" s="78"/>
      <c r="W5" s="78">
        <v>106</v>
      </c>
      <c r="X5" s="78">
        <v>14.4</v>
      </c>
      <c r="Y5" s="78">
        <v>7.33</v>
      </c>
      <c r="Z5" s="78">
        <v>59.4</v>
      </c>
      <c r="AA5" s="78">
        <v>4.8</v>
      </c>
      <c r="AB5" s="78">
        <v>361</v>
      </c>
      <c r="AC5" s="78">
        <v>50</v>
      </c>
    </row>
    <row r="6" spans="1:29">
      <c r="A6" s="34">
        <v>1</v>
      </c>
      <c r="B6" s="12" t="s">
        <v>61</v>
      </c>
      <c r="C6" s="13">
        <v>2</v>
      </c>
      <c r="D6" s="168">
        <v>45895</v>
      </c>
      <c r="E6" s="74"/>
      <c r="F6" s="78"/>
      <c r="G6" s="76"/>
      <c r="H6" s="77"/>
      <c r="I6" s="78"/>
      <c r="J6" s="78"/>
      <c r="K6" s="78"/>
      <c r="L6" s="78"/>
      <c r="M6" s="78"/>
      <c r="N6" s="79">
        <v>506</v>
      </c>
      <c r="O6" s="78"/>
      <c r="P6" s="78"/>
      <c r="Q6" s="78"/>
      <c r="R6" s="78"/>
      <c r="S6" s="78"/>
      <c r="T6" s="78"/>
      <c r="U6" s="78"/>
      <c r="V6" s="78"/>
      <c r="W6" s="78">
        <v>519</v>
      </c>
      <c r="X6" s="78"/>
      <c r="Y6" s="78"/>
      <c r="Z6" s="78"/>
      <c r="AA6" s="78"/>
      <c r="AB6" s="78"/>
      <c r="AC6" s="78"/>
    </row>
    <row r="7" spans="1:29">
      <c r="A7" s="34">
        <v>1</v>
      </c>
      <c r="B7" s="12" t="s">
        <v>61</v>
      </c>
      <c r="C7" s="13">
        <v>2</v>
      </c>
      <c r="D7" s="60">
        <v>45782</v>
      </c>
      <c r="E7" s="52">
        <v>6.2</v>
      </c>
      <c r="F7" s="56">
        <v>2460</v>
      </c>
      <c r="G7" s="54">
        <v>690</v>
      </c>
      <c r="H7" s="55" t="s">
        <v>33</v>
      </c>
      <c r="I7" s="56">
        <v>8</v>
      </c>
      <c r="J7" s="56">
        <v>488</v>
      </c>
      <c r="K7" s="56" t="s">
        <v>34</v>
      </c>
      <c r="L7" s="56" t="s">
        <v>35</v>
      </c>
      <c r="M7" s="56" t="s">
        <v>35</v>
      </c>
      <c r="N7" s="79">
        <v>520</v>
      </c>
      <c r="O7" s="56" t="s">
        <v>35</v>
      </c>
      <c r="P7" s="56" t="s">
        <v>37</v>
      </c>
      <c r="Q7" s="56">
        <v>200</v>
      </c>
      <c r="R7" s="56">
        <v>1.4</v>
      </c>
      <c r="S7" s="56" t="s">
        <v>39</v>
      </c>
      <c r="T7" s="56" t="s">
        <v>42</v>
      </c>
      <c r="U7" s="56">
        <v>684</v>
      </c>
      <c r="V7" s="56"/>
      <c r="W7" s="56">
        <v>42.5</v>
      </c>
      <c r="X7" s="56">
        <v>74.7</v>
      </c>
      <c r="Y7" s="56">
        <v>7.48</v>
      </c>
      <c r="Z7" s="56">
        <v>83.4</v>
      </c>
      <c r="AA7" s="56">
        <v>7.3</v>
      </c>
      <c r="AB7" s="56">
        <v>388</v>
      </c>
      <c r="AC7" s="56">
        <v>61.1</v>
      </c>
    </row>
    <row r="8" spans="1:29">
      <c r="A8" s="34">
        <v>1</v>
      </c>
      <c r="B8" s="12" t="s">
        <v>61</v>
      </c>
      <c r="C8" s="13">
        <v>2</v>
      </c>
      <c r="D8" s="60">
        <v>45706</v>
      </c>
      <c r="E8" s="52"/>
      <c r="F8" s="56"/>
      <c r="G8" s="54"/>
      <c r="H8" s="55"/>
      <c r="I8" s="56"/>
      <c r="J8" s="56"/>
      <c r="K8" s="53"/>
      <c r="L8" s="56"/>
      <c r="M8" s="56"/>
      <c r="N8" s="63">
        <v>490</v>
      </c>
      <c r="O8" s="56"/>
      <c r="P8" s="56"/>
      <c r="Q8" s="56"/>
      <c r="R8" s="56"/>
      <c r="S8" s="56"/>
      <c r="T8" s="56"/>
      <c r="U8" s="56"/>
      <c r="V8" s="55"/>
      <c r="W8" s="65">
        <v>79.3</v>
      </c>
      <c r="X8" s="53"/>
      <c r="Y8" s="53"/>
      <c r="Z8" s="53"/>
      <c r="AA8" s="53"/>
      <c r="AB8" s="53"/>
      <c r="AC8" s="53"/>
    </row>
    <row r="9" spans="1:29">
      <c r="A9" s="34">
        <v>1</v>
      </c>
      <c r="B9" s="12" t="s">
        <v>61</v>
      </c>
      <c r="C9" s="13">
        <v>2</v>
      </c>
      <c r="D9" s="60">
        <v>45644</v>
      </c>
      <c r="E9" s="52">
        <v>6.61</v>
      </c>
      <c r="F9" s="56">
        <v>1950</v>
      </c>
      <c r="G9" s="54">
        <v>15</v>
      </c>
      <c r="H9" s="55" t="s">
        <v>33</v>
      </c>
      <c r="I9" s="56">
        <v>6.5</v>
      </c>
      <c r="J9" s="56">
        <v>397</v>
      </c>
      <c r="K9" s="56" t="s">
        <v>34</v>
      </c>
      <c r="L9" s="56" t="s">
        <v>35</v>
      </c>
      <c r="M9" s="56" t="s">
        <v>36</v>
      </c>
      <c r="N9" s="63">
        <v>397</v>
      </c>
      <c r="O9" s="56" t="s">
        <v>36</v>
      </c>
      <c r="P9" s="56" t="s">
        <v>37</v>
      </c>
      <c r="Q9" s="56">
        <v>210</v>
      </c>
      <c r="R9" s="56">
        <v>13</v>
      </c>
      <c r="S9" s="56" t="s">
        <v>39</v>
      </c>
      <c r="T9" s="56" t="s">
        <v>40</v>
      </c>
      <c r="U9" s="56">
        <v>514</v>
      </c>
      <c r="V9" s="56"/>
      <c r="W9" s="56">
        <v>63</v>
      </c>
      <c r="X9" s="56">
        <v>42.4</v>
      </c>
      <c r="Y9" s="56">
        <v>5.62</v>
      </c>
      <c r="Z9" s="56">
        <v>78.5</v>
      </c>
      <c r="AA9" s="56">
        <v>5.9</v>
      </c>
      <c r="AB9" s="56">
        <v>293</v>
      </c>
      <c r="AC9" s="56">
        <v>45.1</v>
      </c>
    </row>
    <row r="10" spans="1:29">
      <c r="A10" s="34">
        <v>1</v>
      </c>
      <c r="B10" s="12" t="s">
        <v>61</v>
      </c>
      <c r="C10" s="13">
        <v>2</v>
      </c>
      <c r="D10" s="60">
        <v>45616</v>
      </c>
      <c r="E10" s="52">
        <v>6.49</v>
      </c>
      <c r="F10" s="56">
        <v>2220</v>
      </c>
      <c r="G10" s="54">
        <v>132</v>
      </c>
      <c r="H10" s="55" t="s">
        <v>33</v>
      </c>
      <c r="I10" s="56">
        <v>12.7</v>
      </c>
      <c r="J10" s="56">
        <v>775</v>
      </c>
      <c r="K10" s="53" t="s">
        <v>34</v>
      </c>
      <c r="L10" s="56" t="s">
        <v>35</v>
      </c>
      <c r="M10" s="56" t="s">
        <v>35</v>
      </c>
      <c r="N10" s="63">
        <v>330</v>
      </c>
      <c r="O10" s="56">
        <v>3</v>
      </c>
      <c r="P10" s="56" t="s">
        <v>37</v>
      </c>
      <c r="Q10" s="56">
        <v>200</v>
      </c>
      <c r="R10" s="56">
        <v>41</v>
      </c>
      <c r="S10" s="56">
        <v>0.01</v>
      </c>
      <c r="T10" s="56" t="s">
        <v>42</v>
      </c>
      <c r="U10" s="56">
        <v>577</v>
      </c>
      <c r="V10" s="55"/>
      <c r="W10" s="65" t="s">
        <v>42</v>
      </c>
      <c r="X10" s="53">
        <v>67.599999999999994</v>
      </c>
      <c r="Y10" s="53">
        <v>6.45</v>
      </c>
      <c r="Z10" s="53">
        <v>116</v>
      </c>
      <c r="AA10" s="53">
        <v>9.6999999999999993</v>
      </c>
      <c r="AB10" s="53">
        <v>326</v>
      </c>
      <c r="AC10" s="53">
        <v>52.2</v>
      </c>
    </row>
    <row r="11" spans="1:29">
      <c r="A11" s="34">
        <v>1</v>
      </c>
      <c r="B11" s="12" t="s">
        <v>61</v>
      </c>
      <c r="C11" s="13">
        <v>2</v>
      </c>
      <c r="D11" s="60">
        <v>44978</v>
      </c>
      <c r="E11" s="52">
        <v>6</v>
      </c>
      <c r="F11" s="56">
        <v>2740</v>
      </c>
      <c r="G11" s="54">
        <v>640</v>
      </c>
      <c r="H11" s="56" t="s">
        <v>33</v>
      </c>
      <c r="I11" s="56">
        <v>11.9</v>
      </c>
      <c r="J11" s="56">
        <v>726</v>
      </c>
      <c r="K11" s="56" t="s">
        <v>34</v>
      </c>
      <c r="L11" s="56" t="s">
        <v>35</v>
      </c>
      <c r="M11" s="56" t="s">
        <v>35</v>
      </c>
      <c r="N11" s="63">
        <v>620</v>
      </c>
      <c r="O11" s="56" t="s">
        <v>35</v>
      </c>
      <c r="P11" s="56" t="s">
        <v>37</v>
      </c>
      <c r="Q11" s="56">
        <v>100</v>
      </c>
      <c r="R11" s="56">
        <v>15</v>
      </c>
      <c r="S11" s="56">
        <v>0.01</v>
      </c>
      <c r="T11" s="56" t="s">
        <v>42</v>
      </c>
      <c r="U11" s="56">
        <v>775</v>
      </c>
      <c r="V11" s="12"/>
      <c r="W11" s="136">
        <v>249</v>
      </c>
      <c r="X11" s="56">
        <v>121</v>
      </c>
      <c r="Y11" s="56">
        <v>6.96</v>
      </c>
      <c r="Z11" s="56">
        <v>100</v>
      </c>
      <c r="AA11" s="56">
        <v>9.4</v>
      </c>
      <c r="AB11" s="56">
        <v>420</v>
      </c>
      <c r="AC11" s="56">
        <v>81.3</v>
      </c>
    </row>
    <row r="12" spans="1:29">
      <c r="A12" s="11">
        <v>1</v>
      </c>
      <c r="B12" s="12" t="s">
        <v>61</v>
      </c>
      <c r="C12" s="13">
        <v>2</v>
      </c>
      <c r="D12" s="60">
        <v>44950</v>
      </c>
      <c r="E12" s="88">
        <v>5.99</v>
      </c>
      <c r="F12" s="89">
        <v>2940</v>
      </c>
      <c r="G12" s="93">
        <v>950</v>
      </c>
      <c r="H12" s="94" t="s">
        <v>33</v>
      </c>
      <c r="I12" s="94">
        <v>11.1</v>
      </c>
      <c r="J12" s="94">
        <v>677</v>
      </c>
      <c r="K12" s="94" t="s">
        <v>34</v>
      </c>
      <c r="L12" s="94" t="s">
        <v>35</v>
      </c>
      <c r="M12" s="94" t="s">
        <v>35</v>
      </c>
      <c r="N12" s="91">
        <v>590</v>
      </c>
      <c r="O12" s="94" t="s">
        <v>35</v>
      </c>
      <c r="P12" s="94" t="s">
        <v>37</v>
      </c>
      <c r="Q12" s="94">
        <v>100</v>
      </c>
      <c r="R12" s="94">
        <v>12.5</v>
      </c>
      <c r="S12" s="94" t="s">
        <v>39</v>
      </c>
      <c r="T12" s="94" t="s">
        <v>42</v>
      </c>
      <c r="U12" s="94">
        <v>773</v>
      </c>
      <c r="V12" s="87"/>
      <c r="W12" s="189">
        <v>471</v>
      </c>
      <c r="X12" s="94">
        <v>124</v>
      </c>
      <c r="Y12" s="94">
        <v>7.09</v>
      </c>
      <c r="Z12" s="94">
        <v>98.9</v>
      </c>
      <c r="AA12" s="94">
        <v>10</v>
      </c>
      <c r="AB12" s="94">
        <v>419</v>
      </c>
      <c r="AC12" s="94">
        <v>81.099999999999994</v>
      </c>
    </row>
    <row r="13" spans="1:29">
      <c r="A13" s="11">
        <v>1</v>
      </c>
      <c r="B13" s="12" t="s">
        <v>61</v>
      </c>
      <c r="C13" s="13">
        <v>2</v>
      </c>
      <c r="D13" s="60">
        <v>44909</v>
      </c>
      <c r="E13" s="52">
        <v>6.13</v>
      </c>
      <c r="F13" s="56">
        <v>2850</v>
      </c>
      <c r="G13" s="54">
        <v>700</v>
      </c>
      <c r="H13" s="55" t="s">
        <v>33</v>
      </c>
      <c r="I13" s="56">
        <v>12.3</v>
      </c>
      <c r="J13" s="56">
        <v>750</v>
      </c>
      <c r="K13" s="56" t="s">
        <v>34</v>
      </c>
      <c r="L13" s="56" t="s">
        <v>35</v>
      </c>
      <c r="M13" s="56" t="s">
        <v>35</v>
      </c>
      <c r="N13" s="63">
        <v>580</v>
      </c>
      <c r="O13" s="56" t="s">
        <v>35</v>
      </c>
      <c r="P13" s="56" t="s">
        <v>37</v>
      </c>
      <c r="Q13" s="56">
        <v>100</v>
      </c>
      <c r="R13" s="56">
        <v>13.6</v>
      </c>
      <c r="S13" s="56" t="s">
        <v>39</v>
      </c>
      <c r="T13" s="56" t="s">
        <v>42</v>
      </c>
      <c r="U13" s="56">
        <v>783</v>
      </c>
      <c r="V13" s="56"/>
      <c r="W13" s="136">
        <v>340</v>
      </c>
      <c r="X13" s="56">
        <v>127</v>
      </c>
      <c r="Y13" s="56">
        <v>7.24</v>
      </c>
      <c r="Z13" s="56">
        <v>96.9</v>
      </c>
      <c r="AA13" s="56">
        <v>9.6</v>
      </c>
      <c r="AB13" s="56">
        <v>424</v>
      </c>
      <c r="AC13" s="56">
        <v>82.2</v>
      </c>
    </row>
    <row r="14" spans="1:29">
      <c r="A14" s="11">
        <v>1</v>
      </c>
      <c r="B14" s="12" t="s">
        <v>61</v>
      </c>
      <c r="C14" s="13">
        <v>2</v>
      </c>
      <c r="D14" s="60">
        <v>44880</v>
      </c>
      <c r="E14" s="52">
        <v>6.21</v>
      </c>
      <c r="F14" s="56">
        <v>2770</v>
      </c>
      <c r="G14" s="54">
        <v>750</v>
      </c>
      <c r="H14" s="55" t="s">
        <v>33</v>
      </c>
      <c r="I14" s="56">
        <v>13.1</v>
      </c>
      <c r="J14" s="56">
        <v>799</v>
      </c>
      <c r="K14" s="56" t="s">
        <v>34</v>
      </c>
      <c r="L14" s="56" t="s">
        <v>35</v>
      </c>
      <c r="M14" s="56" t="s">
        <v>40</v>
      </c>
      <c r="N14" s="63">
        <v>610</v>
      </c>
      <c r="O14" s="56" t="s">
        <v>40</v>
      </c>
      <c r="P14" s="56" t="s">
        <v>37</v>
      </c>
      <c r="Q14" s="56" t="s">
        <v>49</v>
      </c>
      <c r="R14" s="56">
        <v>13.1</v>
      </c>
      <c r="S14" s="56" t="s">
        <v>39</v>
      </c>
      <c r="T14" s="56" t="s">
        <v>50</v>
      </c>
      <c r="U14" s="56">
        <v>800</v>
      </c>
      <c r="V14" s="56"/>
      <c r="W14" s="136">
        <v>188</v>
      </c>
      <c r="X14" s="56">
        <v>124</v>
      </c>
      <c r="Y14" s="56">
        <v>7.27</v>
      </c>
      <c r="Z14" s="56">
        <v>96.3</v>
      </c>
      <c r="AA14" s="56">
        <v>10.1</v>
      </c>
      <c r="AB14" s="56">
        <v>434</v>
      </c>
      <c r="AC14" s="56">
        <v>83.6</v>
      </c>
    </row>
    <row r="15" spans="1:29">
      <c r="A15" s="11">
        <v>1</v>
      </c>
      <c r="B15" s="12" t="s">
        <v>61</v>
      </c>
      <c r="C15" s="13">
        <v>2</v>
      </c>
      <c r="D15" s="60">
        <v>44852</v>
      </c>
      <c r="E15" s="52">
        <v>6.18</v>
      </c>
      <c r="F15" s="56">
        <v>2810</v>
      </c>
      <c r="G15" s="54">
        <v>400</v>
      </c>
      <c r="H15" s="55" t="s">
        <v>33</v>
      </c>
      <c r="I15" s="56">
        <v>12.6</v>
      </c>
      <c r="J15" s="56">
        <v>769</v>
      </c>
      <c r="K15" s="56" t="s">
        <v>34</v>
      </c>
      <c r="L15" s="56" t="s">
        <v>35</v>
      </c>
      <c r="M15" s="56" t="s">
        <v>35</v>
      </c>
      <c r="N15" s="63">
        <v>600</v>
      </c>
      <c r="O15" s="56" t="s">
        <v>35</v>
      </c>
      <c r="P15" s="56" t="s">
        <v>37</v>
      </c>
      <c r="Q15" s="56">
        <v>100</v>
      </c>
      <c r="R15" s="56">
        <v>13.7</v>
      </c>
      <c r="S15" s="56" t="s">
        <v>39</v>
      </c>
      <c r="T15" s="56" t="s">
        <v>42</v>
      </c>
      <c r="U15" s="56">
        <v>782</v>
      </c>
      <c r="V15" s="56"/>
      <c r="W15" s="136">
        <v>313</v>
      </c>
      <c r="X15" s="56">
        <v>115</v>
      </c>
      <c r="Y15" s="56">
        <v>7.41</v>
      </c>
      <c r="Z15" s="56">
        <v>103</v>
      </c>
      <c r="AA15" s="56">
        <v>8.4</v>
      </c>
      <c r="AB15" s="56">
        <v>425</v>
      </c>
      <c r="AC15" s="56">
        <v>81.400000000000006</v>
      </c>
    </row>
    <row r="16" spans="1:29">
      <c r="A16" s="11">
        <v>1</v>
      </c>
      <c r="B16" s="12" t="s">
        <v>61</v>
      </c>
      <c r="C16" s="13">
        <v>2</v>
      </c>
      <c r="D16" s="60">
        <v>44796</v>
      </c>
      <c r="E16" s="52">
        <v>6.07</v>
      </c>
      <c r="F16" s="56">
        <v>2940</v>
      </c>
      <c r="G16" s="54">
        <v>450</v>
      </c>
      <c r="H16" s="55" t="s">
        <v>33</v>
      </c>
      <c r="I16" s="56">
        <v>13.6</v>
      </c>
      <c r="J16" s="56">
        <v>830</v>
      </c>
      <c r="K16" s="56" t="s">
        <v>34</v>
      </c>
      <c r="L16" s="56" t="s">
        <v>35</v>
      </c>
      <c r="M16" s="56" t="s">
        <v>35</v>
      </c>
      <c r="N16" s="63">
        <v>590</v>
      </c>
      <c r="O16" s="56" t="s">
        <v>35</v>
      </c>
      <c r="P16" s="56" t="s">
        <v>37</v>
      </c>
      <c r="Q16" s="56">
        <v>100</v>
      </c>
      <c r="R16" s="56">
        <v>10</v>
      </c>
      <c r="S16" s="56" t="s">
        <v>39</v>
      </c>
      <c r="T16" s="56" t="s">
        <v>42</v>
      </c>
      <c r="U16" s="56">
        <v>786</v>
      </c>
      <c r="V16" s="56"/>
      <c r="W16" s="136">
        <v>208</v>
      </c>
      <c r="X16" s="56">
        <v>107</v>
      </c>
      <c r="Y16" s="56">
        <v>7.32</v>
      </c>
      <c r="Z16" s="56">
        <v>107</v>
      </c>
      <c r="AA16" s="56">
        <v>11.9</v>
      </c>
      <c r="AB16" s="56">
        <v>428</v>
      </c>
      <c r="AC16" s="56">
        <v>81.099999999999994</v>
      </c>
    </row>
    <row r="17" spans="1:29">
      <c r="A17" s="11">
        <v>1</v>
      </c>
      <c r="B17" s="12" t="s">
        <v>61</v>
      </c>
      <c r="C17" s="13">
        <v>2</v>
      </c>
      <c r="D17" s="60">
        <v>44747</v>
      </c>
      <c r="E17" s="52">
        <v>6.03</v>
      </c>
      <c r="F17" s="56">
        <v>3060</v>
      </c>
      <c r="G17" s="54">
        <v>610</v>
      </c>
      <c r="H17" s="55" t="s">
        <v>33</v>
      </c>
      <c r="I17" s="56">
        <v>12.2</v>
      </c>
      <c r="J17" s="56">
        <v>744</v>
      </c>
      <c r="K17" s="56" t="s">
        <v>34</v>
      </c>
      <c r="L17" s="56" t="s">
        <v>35</v>
      </c>
      <c r="M17" s="56" t="s">
        <v>35</v>
      </c>
      <c r="N17" s="63">
        <v>620</v>
      </c>
      <c r="O17" s="56" t="s">
        <v>35</v>
      </c>
      <c r="P17" s="56">
        <v>0.06</v>
      </c>
      <c r="Q17" s="56">
        <v>100</v>
      </c>
      <c r="R17" s="56">
        <v>12.3</v>
      </c>
      <c r="S17" s="56" t="s">
        <v>39</v>
      </c>
      <c r="T17" s="56" t="s">
        <v>42</v>
      </c>
      <c r="U17" s="56">
        <v>870</v>
      </c>
      <c r="V17" s="56"/>
      <c r="W17" s="136">
        <v>339</v>
      </c>
      <c r="X17" s="56">
        <v>123</v>
      </c>
      <c r="Y17" s="56">
        <v>7.91</v>
      </c>
      <c r="Z17" s="56">
        <v>101</v>
      </c>
      <c r="AA17" s="56">
        <v>15.1</v>
      </c>
      <c r="AB17" s="56">
        <v>482</v>
      </c>
      <c r="AC17" s="56">
        <v>84.9</v>
      </c>
    </row>
    <row r="18" spans="1:29">
      <c r="A18" s="11">
        <v>1</v>
      </c>
      <c r="B18" s="12" t="s">
        <v>61</v>
      </c>
      <c r="C18" s="13">
        <v>2</v>
      </c>
      <c r="D18" s="60">
        <v>44720</v>
      </c>
      <c r="E18" s="52">
        <v>5.8</v>
      </c>
      <c r="F18" s="56">
        <v>2910</v>
      </c>
      <c r="G18" s="54">
        <v>2800</v>
      </c>
      <c r="H18" s="55" t="s">
        <v>33</v>
      </c>
      <c r="I18" s="56">
        <v>11.6</v>
      </c>
      <c r="J18" s="56">
        <v>708</v>
      </c>
      <c r="K18" s="56" t="s">
        <v>34</v>
      </c>
      <c r="L18" s="56" t="s">
        <v>35</v>
      </c>
      <c r="M18" s="56" t="s">
        <v>35</v>
      </c>
      <c r="N18" s="63">
        <v>590</v>
      </c>
      <c r="O18" s="56" t="s">
        <v>35</v>
      </c>
      <c r="P18" s="56" t="s">
        <v>37</v>
      </c>
      <c r="Q18" s="56">
        <v>100</v>
      </c>
      <c r="R18" s="56">
        <v>24</v>
      </c>
      <c r="S18" s="56" t="s">
        <v>39</v>
      </c>
      <c r="T18" s="56" t="s">
        <v>42</v>
      </c>
      <c r="U18" s="56">
        <v>860</v>
      </c>
      <c r="V18" s="56"/>
      <c r="W18" s="136">
        <v>362</v>
      </c>
      <c r="X18" s="56">
        <v>136</v>
      </c>
      <c r="Y18" s="56">
        <v>7.93</v>
      </c>
      <c r="Z18" s="56">
        <v>107</v>
      </c>
      <c r="AA18" s="56">
        <v>15.9</v>
      </c>
      <c r="AB18" s="56">
        <v>465</v>
      </c>
      <c r="AC18" s="56">
        <v>90.6</v>
      </c>
    </row>
    <row r="19" spans="1:29">
      <c r="A19" s="11">
        <v>1</v>
      </c>
      <c r="B19" s="12" t="s">
        <v>61</v>
      </c>
      <c r="C19" s="13">
        <v>2</v>
      </c>
      <c r="D19" s="60">
        <v>44704</v>
      </c>
      <c r="E19" s="52">
        <v>6.11</v>
      </c>
      <c r="F19" s="56">
        <v>3200</v>
      </c>
      <c r="G19" s="54">
        <v>1700</v>
      </c>
      <c r="H19" s="55" t="s">
        <v>33</v>
      </c>
      <c r="I19" s="56">
        <v>13.3</v>
      </c>
      <c r="J19" s="56">
        <v>811</v>
      </c>
      <c r="K19" s="56" t="s">
        <v>34</v>
      </c>
      <c r="L19" s="56" t="s">
        <v>35</v>
      </c>
      <c r="M19" s="56" t="s">
        <v>35</v>
      </c>
      <c r="N19" s="63">
        <v>640</v>
      </c>
      <c r="O19" s="56" t="s">
        <v>35</v>
      </c>
      <c r="P19" s="56" t="s">
        <v>37</v>
      </c>
      <c r="Q19" s="56">
        <v>100</v>
      </c>
      <c r="R19" s="56">
        <v>15.2</v>
      </c>
      <c r="S19" s="56" t="s">
        <v>39</v>
      </c>
      <c r="T19" s="56" t="s">
        <v>42</v>
      </c>
      <c r="U19" s="56">
        <v>847</v>
      </c>
      <c r="V19" s="56"/>
      <c r="W19" s="136">
        <v>366</v>
      </c>
      <c r="X19" s="56">
        <v>129</v>
      </c>
      <c r="Y19" s="56">
        <v>7.6</v>
      </c>
      <c r="Z19" s="56">
        <v>104</v>
      </c>
      <c r="AA19" s="56">
        <v>17.8</v>
      </c>
      <c r="AB19" s="56">
        <v>464</v>
      </c>
      <c r="AC19" s="56">
        <v>85.5</v>
      </c>
    </row>
    <row r="20" spans="1:29">
      <c r="A20" s="11">
        <v>1</v>
      </c>
      <c r="B20" s="12" t="s">
        <v>61</v>
      </c>
      <c r="C20" s="13">
        <v>2</v>
      </c>
      <c r="D20" s="60">
        <v>44676</v>
      </c>
      <c r="E20" s="52">
        <v>6.3</v>
      </c>
      <c r="F20" s="56">
        <v>2810</v>
      </c>
      <c r="G20" s="54">
        <v>830</v>
      </c>
      <c r="H20" s="55" t="s">
        <v>33</v>
      </c>
      <c r="I20" s="56">
        <v>11.4</v>
      </c>
      <c r="J20" s="56">
        <v>695</v>
      </c>
      <c r="K20" s="56" t="s">
        <v>34</v>
      </c>
      <c r="L20" s="56" t="s">
        <v>35</v>
      </c>
      <c r="M20" s="56" t="s">
        <v>40</v>
      </c>
      <c r="N20" s="63">
        <v>610</v>
      </c>
      <c r="O20" s="56" t="s">
        <v>40</v>
      </c>
      <c r="P20" s="56" t="s">
        <v>37</v>
      </c>
      <c r="Q20" s="56" t="s">
        <v>49</v>
      </c>
      <c r="R20" s="56">
        <v>16.8</v>
      </c>
      <c r="S20" s="56" t="s">
        <v>39</v>
      </c>
      <c r="T20" s="56" t="s">
        <v>50</v>
      </c>
      <c r="U20" s="56">
        <v>799</v>
      </c>
      <c r="V20" s="56"/>
      <c r="W20" s="136">
        <v>293</v>
      </c>
      <c r="X20" s="56">
        <v>113</v>
      </c>
      <c r="Y20" s="56">
        <v>7.02</v>
      </c>
      <c r="Z20" s="56">
        <v>99.6</v>
      </c>
      <c r="AA20" s="56">
        <v>9.6</v>
      </c>
      <c r="AB20" s="56">
        <v>431</v>
      </c>
      <c r="AC20" s="56">
        <v>84.8</v>
      </c>
    </row>
    <row r="21" spans="1:29">
      <c r="A21" s="11">
        <v>1</v>
      </c>
      <c r="B21" s="12" t="s">
        <v>61</v>
      </c>
      <c r="C21" s="13">
        <v>2</v>
      </c>
      <c r="D21" s="60">
        <v>44641</v>
      </c>
      <c r="E21" s="52">
        <v>6.06</v>
      </c>
      <c r="F21" s="56">
        <v>2660</v>
      </c>
      <c r="G21" s="54">
        <v>570</v>
      </c>
      <c r="H21" s="55" t="s">
        <v>33</v>
      </c>
      <c r="I21" s="55">
        <v>11</v>
      </c>
      <c r="J21" s="56">
        <v>671</v>
      </c>
      <c r="K21" s="56" t="s">
        <v>34</v>
      </c>
      <c r="L21" s="56" t="s">
        <v>35</v>
      </c>
      <c r="M21" s="56" t="s">
        <v>35</v>
      </c>
      <c r="N21" s="63">
        <v>620</v>
      </c>
      <c r="O21" s="56" t="s">
        <v>35</v>
      </c>
      <c r="P21" s="56" t="s">
        <v>37</v>
      </c>
      <c r="Q21" s="56">
        <v>200</v>
      </c>
      <c r="R21" s="56">
        <v>13</v>
      </c>
      <c r="S21" s="56" t="s">
        <v>39</v>
      </c>
      <c r="T21" s="56" t="s">
        <v>42</v>
      </c>
      <c r="U21" s="56">
        <v>717</v>
      </c>
      <c r="V21" s="56"/>
      <c r="W21" s="136">
        <v>226</v>
      </c>
      <c r="X21" s="56">
        <v>101</v>
      </c>
      <c r="Y21" s="56">
        <v>6.65</v>
      </c>
      <c r="Z21" s="56">
        <v>90.3</v>
      </c>
      <c r="AA21" s="56">
        <v>7.7</v>
      </c>
      <c r="AB21" s="56">
        <v>394</v>
      </c>
      <c r="AC21" s="56">
        <v>71.900000000000006</v>
      </c>
    </row>
    <row r="22" spans="1:29">
      <c r="A22" s="34">
        <v>1</v>
      </c>
      <c r="B22" s="12" t="s">
        <v>61</v>
      </c>
      <c r="C22" s="13">
        <v>2</v>
      </c>
      <c r="D22" s="60">
        <v>44613</v>
      </c>
      <c r="E22" s="52">
        <v>6.09</v>
      </c>
      <c r="F22" s="56">
        <v>3100</v>
      </c>
      <c r="G22" s="54">
        <v>118</v>
      </c>
      <c r="H22" s="55" t="s">
        <v>33</v>
      </c>
      <c r="I22" s="56">
        <v>12.9</v>
      </c>
      <c r="J22" s="56">
        <v>787</v>
      </c>
      <c r="K22" s="56" t="s">
        <v>34</v>
      </c>
      <c r="L22" s="56" t="s">
        <v>35</v>
      </c>
      <c r="M22" s="56" t="s">
        <v>35</v>
      </c>
      <c r="N22" s="63">
        <v>610</v>
      </c>
      <c r="O22" s="56" t="s">
        <v>35</v>
      </c>
      <c r="P22" s="56" t="s">
        <v>37</v>
      </c>
      <c r="Q22" s="56">
        <v>200</v>
      </c>
      <c r="R22" s="56">
        <v>17</v>
      </c>
      <c r="S22" s="56" t="s">
        <v>39</v>
      </c>
      <c r="T22" s="56" t="s">
        <v>42</v>
      </c>
      <c r="U22" s="56">
        <v>807</v>
      </c>
      <c r="V22" s="56"/>
      <c r="W22" s="136">
        <v>311</v>
      </c>
      <c r="X22" s="56">
        <v>111</v>
      </c>
      <c r="Y22" s="56">
        <v>6.77</v>
      </c>
      <c r="Z22" s="56">
        <v>95.8</v>
      </c>
      <c r="AA22" s="56">
        <v>11.9</v>
      </c>
      <c r="AB22" s="56">
        <v>436</v>
      </c>
      <c r="AC22" s="56">
        <v>85.3</v>
      </c>
    </row>
    <row r="23" spans="1:29">
      <c r="A23" s="34">
        <v>1</v>
      </c>
      <c r="B23" s="12" t="s">
        <v>61</v>
      </c>
      <c r="C23" s="13">
        <v>2</v>
      </c>
      <c r="D23" s="60">
        <v>44586</v>
      </c>
      <c r="E23" s="52">
        <v>5.76</v>
      </c>
      <c r="F23" s="56">
        <v>2830</v>
      </c>
      <c r="G23" s="54">
        <v>36</v>
      </c>
      <c r="H23" s="55" t="s">
        <v>33</v>
      </c>
      <c r="I23" s="56">
        <v>10.199999999999999</v>
      </c>
      <c r="J23" s="56">
        <v>622</v>
      </c>
      <c r="K23" s="56" t="s">
        <v>34</v>
      </c>
      <c r="L23" s="56" t="s">
        <v>35</v>
      </c>
      <c r="M23" s="56" t="s">
        <v>35</v>
      </c>
      <c r="N23" s="63">
        <v>550</v>
      </c>
      <c r="O23" s="56" t="s">
        <v>35</v>
      </c>
      <c r="P23" s="56">
        <v>3.8</v>
      </c>
      <c r="Q23" s="56">
        <v>100</v>
      </c>
      <c r="R23" s="56">
        <v>18.2</v>
      </c>
      <c r="S23" s="56" t="s">
        <v>39</v>
      </c>
      <c r="T23" s="56" t="s">
        <v>42</v>
      </c>
      <c r="U23" s="56">
        <v>838</v>
      </c>
      <c r="V23" s="56"/>
      <c r="W23" s="136">
        <v>580</v>
      </c>
      <c r="X23" s="56">
        <v>104</v>
      </c>
      <c r="Y23" s="56">
        <v>7.09</v>
      </c>
      <c r="Z23" s="56">
        <v>117</v>
      </c>
      <c r="AA23" s="56">
        <v>16.2</v>
      </c>
      <c r="AB23" s="56">
        <v>455</v>
      </c>
      <c r="AC23" s="56">
        <v>87.3</v>
      </c>
    </row>
    <row r="24" spans="1:29">
      <c r="A24" s="34">
        <v>1</v>
      </c>
      <c r="B24" s="12" t="s">
        <v>61</v>
      </c>
      <c r="C24" s="13">
        <v>2</v>
      </c>
      <c r="D24" s="60">
        <v>44543</v>
      </c>
      <c r="E24" s="52">
        <v>6.04</v>
      </c>
      <c r="F24" s="56">
        <v>2820</v>
      </c>
      <c r="G24" s="54">
        <v>890</v>
      </c>
      <c r="H24" s="55" t="s">
        <v>33</v>
      </c>
      <c r="I24" s="56">
        <v>13.2</v>
      </c>
      <c r="J24" s="56">
        <v>803</v>
      </c>
      <c r="K24" s="56" t="s">
        <v>34</v>
      </c>
      <c r="L24" s="56" t="s">
        <v>35</v>
      </c>
      <c r="M24" s="56" t="s">
        <v>35</v>
      </c>
      <c r="N24" s="63">
        <v>570</v>
      </c>
      <c r="O24" s="56" t="s">
        <v>35</v>
      </c>
      <c r="P24" s="56" t="s">
        <v>37</v>
      </c>
      <c r="Q24" s="56">
        <v>100</v>
      </c>
      <c r="R24" s="56">
        <v>17.899999999999999</v>
      </c>
      <c r="S24" s="56" t="s">
        <v>39</v>
      </c>
      <c r="T24" s="56" t="s">
        <v>42</v>
      </c>
      <c r="U24" s="56">
        <v>788</v>
      </c>
      <c r="V24" s="56"/>
      <c r="W24" s="136">
        <v>600</v>
      </c>
      <c r="X24" s="56">
        <v>102</v>
      </c>
      <c r="Y24" s="56">
        <v>6.67</v>
      </c>
      <c r="Z24" s="56">
        <v>95.8</v>
      </c>
      <c r="AA24" s="56">
        <v>9.1</v>
      </c>
      <c r="AB24" s="56">
        <v>423</v>
      </c>
      <c r="AC24" s="56">
        <v>84.9</v>
      </c>
    </row>
    <row r="25" spans="1:29">
      <c r="A25" s="34">
        <v>1</v>
      </c>
      <c r="B25" s="12" t="s">
        <v>61</v>
      </c>
      <c r="C25" s="13">
        <v>2</v>
      </c>
      <c r="D25" s="60">
        <v>44515</v>
      </c>
      <c r="E25" s="52">
        <v>6.07</v>
      </c>
      <c r="F25" s="56">
        <v>3340</v>
      </c>
      <c r="G25" s="54">
        <v>1290</v>
      </c>
      <c r="H25" s="55" t="s">
        <v>33</v>
      </c>
      <c r="I25" s="56">
        <v>11.9</v>
      </c>
      <c r="J25" s="56">
        <v>726</v>
      </c>
      <c r="K25" s="56" t="s">
        <v>34</v>
      </c>
      <c r="L25" s="56" t="s">
        <v>35</v>
      </c>
      <c r="M25" s="56" t="s">
        <v>35</v>
      </c>
      <c r="N25" s="63">
        <v>720</v>
      </c>
      <c r="O25" s="56" t="s">
        <v>35</v>
      </c>
      <c r="P25" s="56">
        <v>0.09</v>
      </c>
      <c r="Q25" s="56">
        <v>200</v>
      </c>
      <c r="R25" s="56">
        <v>15.8</v>
      </c>
      <c r="S25" s="56" t="s">
        <v>39</v>
      </c>
      <c r="T25" s="56" t="s">
        <v>42</v>
      </c>
      <c r="U25" s="56">
        <v>780</v>
      </c>
      <c r="V25" s="56"/>
      <c r="W25" s="136">
        <v>546</v>
      </c>
      <c r="X25" s="56">
        <v>103</v>
      </c>
      <c r="Y25" s="56">
        <v>6.87</v>
      </c>
      <c r="Z25" s="56">
        <v>98.6</v>
      </c>
      <c r="AA25" s="56">
        <v>14.1</v>
      </c>
      <c r="AB25" s="56">
        <v>421</v>
      </c>
      <c r="AC25" s="56">
        <v>82.8</v>
      </c>
    </row>
    <row r="26" spans="1:29">
      <c r="A26" s="34">
        <v>1</v>
      </c>
      <c r="B26" s="12" t="s">
        <v>61</v>
      </c>
      <c r="C26" s="13">
        <v>2</v>
      </c>
      <c r="D26" s="60">
        <v>44489</v>
      </c>
      <c r="E26" s="52">
        <v>6.3</v>
      </c>
      <c r="F26" s="56">
        <v>2750</v>
      </c>
      <c r="G26" s="54">
        <v>124</v>
      </c>
      <c r="H26" s="55" t="s">
        <v>33</v>
      </c>
      <c r="I26" s="56">
        <v>12.5</v>
      </c>
      <c r="J26" s="56">
        <v>763</v>
      </c>
      <c r="K26" s="56" t="s">
        <v>34</v>
      </c>
      <c r="L26" s="56" t="s">
        <v>35</v>
      </c>
      <c r="M26" s="56" t="s">
        <v>35</v>
      </c>
      <c r="N26" s="63">
        <v>560</v>
      </c>
      <c r="O26" s="56" t="s">
        <v>35</v>
      </c>
      <c r="P26" s="56" t="s">
        <v>37</v>
      </c>
      <c r="Q26" s="56">
        <v>100</v>
      </c>
      <c r="R26" s="56">
        <v>22</v>
      </c>
      <c r="S26" s="56" t="s">
        <v>39</v>
      </c>
      <c r="T26" s="56" t="s">
        <v>42</v>
      </c>
      <c r="U26" s="56">
        <v>783</v>
      </c>
      <c r="V26" s="56"/>
      <c r="W26" s="136">
        <v>384</v>
      </c>
      <c r="X26" s="56">
        <v>98.5</v>
      </c>
      <c r="Y26" s="56">
        <v>6.89</v>
      </c>
      <c r="Z26" s="56">
        <v>99.9</v>
      </c>
      <c r="AA26" s="56">
        <v>8.6</v>
      </c>
      <c r="AB26" s="56">
        <v>422</v>
      </c>
      <c r="AC26" s="56">
        <v>83.5</v>
      </c>
    </row>
    <row r="27" spans="1:29">
      <c r="A27" s="34">
        <v>1</v>
      </c>
      <c r="B27" s="12" t="s">
        <v>61</v>
      </c>
      <c r="C27" s="13">
        <v>2</v>
      </c>
      <c r="D27" s="60">
        <v>44466</v>
      </c>
      <c r="E27" s="52">
        <v>6.22</v>
      </c>
      <c r="F27" s="56">
        <v>2890</v>
      </c>
      <c r="G27" s="54">
        <v>139</v>
      </c>
      <c r="H27" s="55" t="s">
        <v>33</v>
      </c>
      <c r="I27" s="56">
        <v>12.6</v>
      </c>
      <c r="J27" s="56">
        <v>769</v>
      </c>
      <c r="K27" s="56" t="s">
        <v>34</v>
      </c>
      <c r="L27" s="56" t="s">
        <v>35</v>
      </c>
      <c r="M27" s="56" t="s">
        <v>35</v>
      </c>
      <c r="N27" s="63">
        <v>600</v>
      </c>
      <c r="O27" s="56">
        <v>2</v>
      </c>
      <c r="P27" s="56" t="s">
        <v>37</v>
      </c>
      <c r="Q27" s="56">
        <v>200</v>
      </c>
      <c r="R27" s="56">
        <v>22</v>
      </c>
      <c r="S27" s="56" t="s">
        <v>39</v>
      </c>
      <c r="T27" s="56" t="s">
        <v>42</v>
      </c>
      <c r="U27" s="56">
        <v>812</v>
      </c>
      <c r="V27" s="56"/>
      <c r="W27" s="136">
        <v>327</v>
      </c>
      <c r="X27" s="56">
        <v>103</v>
      </c>
      <c r="Y27" s="56">
        <v>7.01</v>
      </c>
      <c r="Z27" s="56">
        <v>98.3</v>
      </c>
      <c r="AA27" s="56">
        <v>8.1</v>
      </c>
      <c r="AB27" s="56">
        <v>439</v>
      </c>
      <c r="AC27" s="56">
        <v>85.6</v>
      </c>
    </row>
    <row r="28" spans="1:29">
      <c r="A28" s="34">
        <v>1</v>
      </c>
      <c r="B28" s="12" t="s">
        <v>61</v>
      </c>
      <c r="C28" s="13">
        <v>2</v>
      </c>
      <c r="D28" s="60">
        <v>44431</v>
      </c>
      <c r="E28" s="52">
        <v>6.34</v>
      </c>
      <c r="F28" s="56">
        <v>2980</v>
      </c>
      <c r="G28" s="54">
        <v>73</v>
      </c>
      <c r="H28" s="55" t="s">
        <v>33</v>
      </c>
      <c r="I28" s="56">
        <v>18.3</v>
      </c>
      <c r="J28" s="56">
        <v>1120</v>
      </c>
      <c r="K28" s="56" t="s">
        <v>34</v>
      </c>
      <c r="L28" s="56" t="s">
        <v>35</v>
      </c>
      <c r="M28" s="56" t="s">
        <v>35</v>
      </c>
      <c r="N28" s="63">
        <v>540</v>
      </c>
      <c r="O28" s="56" t="s">
        <v>35</v>
      </c>
      <c r="P28" s="56" t="s">
        <v>48</v>
      </c>
      <c r="Q28" s="56">
        <v>100</v>
      </c>
      <c r="R28" s="56">
        <v>22</v>
      </c>
      <c r="S28" s="56" t="s">
        <v>39</v>
      </c>
      <c r="T28" s="56" t="s">
        <v>42</v>
      </c>
      <c r="U28" s="56">
        <v>799</v>
      </c>
      <c r="V28" s="56"/>
      <c r="W28" s="136">
        <v>367</v>
      </c>
      <c r="X28" s="56">
        <v>102</v>
      </c>
      <c r="Y28" s="56">
        <v>6.89</v>
      </c>
      <c r="Z28" s="56">
        <v>98.8</v>
      </c>
      <c r="AA28" s="56">
        <v>7.6</v>
      </c>
      <c r="AB28" s="56">
        <v>430</v>
      </c>
      <c r="AC28" s="56">
        <v>85.7</v>
      </c>
    </row>
    <row r="29" spans="1:29">
      <c r="A29" s="34">
        <v>1</v>
      </c>
      <c r="B29" s="12" t="s">
        <v>61</v>
      </c>
      <c r="C29" s="13">
        <v>2</v>
      </c>
      <c r="D29" s="60">
        <v>44406</v>
      </c>
      <c r="E29" s="52">
        <v>6.23</v>
      </c>
      <c r="F29" s="56">
        <v>3210</v>
      </c>
      <c r="G29" s="54">
        <v>73</v>
      </c>
      <c r="H29" s="55" t="s">
        <v>33</v>
      </c>
      <c r="I29" s="56">
        <v>13.4</v>
      </c>
      <c r="J29" s="56">
        <v>817</v>
      </c>
      <c r="K29" s="56" t="s">
        <v>34</v>
      </c>
      <c r="L29" s="56" t="s">
        <v>35</v>
      </c>
      <c r="M29" s="56" t="s">
        <v>36</v>
      </c>
      <c r="N29" s="63">
        <v>572</v>
      </c>
      <c r="O29" s="56" t="s">
        <v>36</v>
      </c>
      <c r="P29" s="56" t="s">
        <v>37</v>
      </c>
      <c r="Q29" s="56">
        <v>180</v>
      </c>
      <c r="R29" s="56">
        <v>19.7</v>
      </c>
      <c r="S29" s="56" t="s">
        <v>39</v>
      </c>
      <c r="T29" s="56" t="s">
        <v>40</v>
      </c>
      <c r="U29" s="56">
        <v>805</v>
      </c>
      <c r="V29" s="56"/>
      <c r="W29" s="136">
        <v>519</v>
      </c>
      <c r="X29" s="56">
        <v>102</v>
      </c>
      <c r="Y29" s="56">
        <v>6.88</v>
      </c>
      <c r="Z29" s="56">
        <v>94.3</v>
      </c>
      <c r="AA29" s="56">
        <v>7.5</v>
      </c>
      <c r="AB29" s="56">
        <v>435</v>
      </c>
      <c r="AC29" s="56">
        <v>85</v>
      </c>
    </row>
    <row r="30" spans="1:29">
      <c r="A30" s="34">
        <v>1</v>
      </c>
      <c r="B30" s="12" t="s">
        <v>61</v>
      </c>
      <c r="C30" s="13">
        <v>2</v>
      </c>
      <c r="D30" s="60">
        <v>44371</v>
      </c>
      <c r="E30" s="52">
        <v>6.34</v>
      </c>
      <c r="F30" s="56">
        <v>2820</v>
      </c>
      <c r="G30" s="54">
        <v>180</v>
      </c>
      <c r="H30" s="55" t="s">
        <v>33</v>
      </c>
      <c r="I30" s="56">
        <v>12.9</v>
      </c>
      <c r="J30" s="56">
        <v>787</v>
      </c>
      <c r="K30" s="56" t="s">
        <v>34</v>
      </c>
      <c r="L30" s="56" t="s">
        <v>35</v>
      </c>
      <c r="M30" s="56" t="s">
        <v>36</v>
      </c>
      <c r="N30" s="63">
        <v>513</v>
      </c>
      <c r="O30" s="56" t="s">
        <v>36</v>
      </c>
      <c r="P30" s="56" t="s">
        <v>37</v>
      </c>
      <c r="Q30" s="56">
        <v>170</v>
      </c>
      <c r="R30" s="56">
        <v>21</v>
      </c>
      <c r="S30" s="56" t="s">
        <v>39</v>
      </c>
      <c r="T30" s="56" t="s">
        <v>40</v>
      </c>
      <c r="U30" s="56">
        <v>766</v>
      </c>
      <c r="V30" s="56"/>
      <c r="W30" s="136"/>
      <c r="X30" s="56">
        <v>706</v>
      </c>
      <c r="Y30" s="56">
        <v>6.35</v>
      </c>
      <c r="Z30" s="56">
        <v>94.6</v>
      </c>
      <c r="AA30" s="56">
        <v>6.8</v>
      </c>
      <c r="AB30" s="56">
        <v>413</v>
      </c>
      <c r="AC30" s="56">
        <v>81.599999999999994</v>
      </c>
    </row>
    <row r="31" spans="1:29">
      <c r="A31" s="34">
        <v>1</v>
      </c>
      <c r="B31" s="12" t="s">
        <v>61</v>
      </c>
      <c r="C31" s="13">
        <v>2</v>
      </c>
      <c r="D31" s="169" t="s">
        <v>3</v>
      </c>
      <c r="E31" s="52">
        <v>6.19</v>
      </c>
      <c r="F31" s="56">
        <v>2790</v>
      </c>
      <c r="G31" s="54">
        <v>170</v>
      </c>
      <c r="H31" s="55" t="s">
        <v>33</v>
      </c>
      <c r="I31" s="56">
        <v>12.4</v>
      </c>
      <c r="J31" s="56">
        <v>756</v>
      </c>
      <c r="K31" s="56" t="s">
        <v>34</v>
      </c>
      <c r="L31" s="56" t="s">
        <v>35</v>
      </c>
      <c r="M31" s="56" t="s">
        <v>36</v>
      </c>
      <c r="N31" s="63">
        <v>521</v>
      </c>
      <c r="O31" s="56">
        <v>0.6</v>
      </c>
      <c r="P31" s="56" t="s">
        <v>37</v>
      </c>
      <c r="Q31" s="56">
        <v>180</v>
      </c>
      <c r="R31" s="56">
        <v>20</v>
      </c>
      <c r="S31" s="56" t="s">
        <v>39</v>
      </c>
      <c r="T31" s="56" t="s">
        <v>40</v>
      </c>
      <c r="U31" s="56">
        <v>790</v>
      </c>
      <c r="V31" s="56"/>
      <c r="W31" s="136">
        <v>424</v>
      </c>
      <c r="X31" s="56">
        <v>67.5</v>
      </c>
      <c r="Y31" s="56">
        <v>6.46</v>
      </c>
      <c r="Z31" s="56">
        <v>95.2</v>
      </c>
      <c r="AA31" s="56">
        <v>7.2</v>
      </c>
      <c r="AB31" s="56">
        <v>426</v>
      </c>
      <c r="AC31" s="56">
        <v>84.2</v>
      </c>
    </row>
    <row r="32" spans="1:29">
      <c r="A32" s="11">
        <v>1</v>
      </c>
      <c r="B32" s="12" t="s">
        <v>61</v>
      </c>
      <c r="C32" s="13">
        <v>2</v>
      </c>
      <c r="D32" s="60">
        <v>44312</v>
      </c>
      <c r="E32" s="52">
        <v>6.25</v>
      </c>
      <c r="F32" s="56">
        <v>2640</v>
      </c>
      <c r="G32" s="54">
        <v>270</v>
      </c>
      <c r="H32" s="55" t="s">
        <v>33</v>
      </c>
      <c r="I32" s="56">
        <v>11.8</v>
      </c>
      <c r="J32" s="56">
        <v>720</v>
      </c>
      <c r="K32" s="56" t="s">
        <v>34</v>
      </c>
      <c r="L32" s="56" t="s">
        <v>35</v>
      </c>
      <c r="M32" s="56" t="s">
        <v>35</v>
      </c>
      <c r="N32" s="63">
        <v>430</v>
      </c>
      <c r="O32" s="56" t="s">
        <v>35</v>
      </c>
      <c r="P32" s="56" t="s">
        <v>37</v>
      </c>
      <c r="Q32" s="56">
        <v>200</v>
      </c>
      <c r="R32" s="56">
        <v>22</v>
      </c>
      <c r="S32" s="56" t="s">
        <v>39</v>
      </c>
      <c r="T32" s="56" t="s">
        <v>42</v>
      </c>
      <c r="U32" s="56">
        <v>728</v>
      </c>
      <c r="V32" s="56"/>
      <c r="W32" s="136">
        <v>355</v>
      </c>
      <c r="X32" s="56">
        <v>61</v>
      </c>
      <c r="Y32" s="56">
        <v>6.3</v>
      </c>
      <c r="Z32" s="56">
        <v>93.2</v>
      </c>
      <c r="AA32" s="56">
        <v>7.7</v>
      </c>
      <c r="AB32" s="56">
        <v>397</v>
      </c>
      <c r="AC32" s="56">
        <v>74.900000000000006</v>
      </c>
    </row>
    <row r="33" spans="1:29">
      <c r="A33" s="11">
        <v>1</v>
      </c>
      <c r="B33" s="12" t="s">
        <v>61</v>
      </c>
      <c r="C33" s="13">
        <v>2</v>
      </c>
      <c r="D33" s="60">
        <v>44280</v>
      </c>
      <c r="E33" s="52">
        <v>6.41</v>
      </c>
      <c r="F33" s="56">
        <v>2610</v>
      </c>
      <c r="G33" s="54">
        <v>1210</v>
      </c>
      <c r="H33" s="55" t="s">
        <v>33</v>
      </c>
      <c r="I33" s="56">
        <v>12.3</v>
      </c>
      <c r="J33" s="56">
        <v>750</v>
      </c>
      <c r="K33" s="56" t="s">
        <v>34</v>
      </c>
      <c r="L33" s="56" t="s">
        <v>35</v>
      </c>
      <c r="M33" s="56" t="s">
        <v>36</v>
      </c>
      <c r="N33" s="63">
        <v>450</v>
      </c>
      <c r="O33" s="56" t="s">
        <v>36</v>
      </c>
      <c r="P33" s="56" t="s">
        <v>37</v>
      </c>
      <c r="Q33" s="56">
        <v>180</v>
      </c>
      <c r="R33" s="56">
        <v>21</v>
      </c>
      <c r="S33" s="56" t="s">
        <v>39</v>
      </c>
      <c r="T33" s="56" t="s">
        <v>40</v>
      </c>
      <c r="U33" s="56">
        <v>706</v>
      </c>
      <c r="V33" s="56"/>
      <c r="W33" s="136">
        <v>351</v>
      </c>
      <c r="X33" s="56">
        <v>65.8</v>
      </c>
      <c r="Y33" s="56">
        <v>5.89</v>
      </c>
      <c r="Z33" s="56">
        <v>97.3</v>
      </c>
      <c r="AA33" s="56">
        <v>9.8000000000000007</v>
      </c>
      <c r="AB33" s="56">
        <v>391</v>
      </c>
      <c r="AC33" s="56">
        <v>68.900000000000006</v>
      </c>
    </row>
    <row r="34" spans="1:29">
      <c r="A34" s="11">
        <v>1</v>
      </c>
      <c r="B34" s="12" t="s">
        <v>61</v>
      </c>
      <c r="C34" s="13">
        <v>2</v>
      </c>
      <c r="D34" s="60">
        <v>44249</v>
      </c>
      <c r="E34" s="52">
        <v>6.51</v>
      </c>
      <c r="F34" s="56">
        <v>2250</v>
      </c>
      <c r="G34" s="54">
        <v>760</v>
      </c>
      <c r="H34" s="55" t="s">
        <v>33</v>
      </c>
      <c r="I34" s="56">
        <v>9.4</v>
      </c>
      <c r="J34" s="56">
        <v>573</v>
      </c>
      <c r="K34" s="56" t="s">
        <v>34</v>
      </c>
      <c r="L34" s="56" t="s">
        <v>35</v>
      </c>
      <c r="M34" s="56" t="s">
        <v>36</v>
      </c>
      <c r="N34" s="63">
        <v>521</v>
      </c>
      <c r="O34" s="56">
        <v>0.6</v>
      </c>
      <c r="P34" s="56" t="s">
        <v>37</v>
      </c>
      <c r="Q34" s="56">
        <v>210</v>
      </c>
      <c r="R34" s="56">
        <v>10.6</v>
      </c>
      <c r="S34" s="56" t="s">
        <v>39</v>
      </c>
      <c r="T34" s="56" t="s">
        <v>40</v>
      </c>
      <c r="U34" s="56">
        <v>641</v>
      </c>
      <c r="V34" s="55"/>
      <c r="W34" s="136">
        <v>87</v>
      </c>
      <c r="X34" s="56">
        <v>74.7</v>
      </c>
      <c r="Y34" s="56">
        <v>7.26</v>
      </c>
      <c r="Z34" s="56">
        <v>67.099999999999994</v>
      </c>
      <c r="AA34" s="56">
        <v>7.2</v>
      </c>
      <c r="AB34" s="56">
        <v>373</v>
      </c>
      <c r="AC34" s="56">
        <v>51.7</v>
      </c>
    </row>
    <row r="35" spans="1:29">
      <c r="A35" s="11">
        <v>1</v>
      </c>
      <c r="B35" s="12" t="s">
        <v>61</v>
      </c>
      <c r="C35" s="13">
        <v>2</v>
      </c>
      <c r="D35" s="60">
        <v>44217</v>
      </c>
      <c r="E35" s="52">
        <v>6.35</v>
      </c>
      <c r="F35" s="56">
        <v>2320</v>
      </c>
      <c r="G35" s="54">
        <v>55</v>
      </c>
      <c r="H35" s="55" t="s">
        <v>33</v>
      </c>
      <c r="I35" s="56">
        <v>9.8000000000000007</v>
      </c>
      <c r="J35" s="56">
        <v>598</v>
      </c>
      <c r="K35" s="56" t="s">
        <v>34</v>
      </c>
      <c r="L35" s="56" t="s">
        <v>35</v>
      </c>
      <c r="M35" s="56" t="s">
        <v>35</v>
      </c>
      <c r="N35" s="63">
        <v>270</v>
      </c>
      <c r="O35" s="56" t="s">
        <v>35</v>
      </c>
      <c r="P35" s="56" t="s">
        <v>37</v>
      </c>
      <c r="Q35" s="56">
        <v>300</v>
      </c>
      <c r="R35" s="56">
        <v>33</v>
      </c>
      <c r="S35" s="56" t="s">
        <v>39</v>
      </c>
      <c r="T35" s="56" t="s">
        <v>42</v>
      </c>
      <c r="U35" s="56">
        <v>598</v>
      </c>
      <c r="V35" s="56"/>
      <c r="W35" s="136">
        <v>274</v>
      </c>
      <c r="X35" s="56">
        <v>22.3</v>
      </c>
      <c r="Y35" s="56">
        <v>4.55</v>
      </c>
      <c r="Z35" s="56">
        <v>119</v>
      </c>
      <c r="AA35" s="56">
        <v>6.9</v>
      </c>
      <c r="AB35" s="56">
        <v>324</v>
      </c>
      <c r="AC35" s="56">
        <v>62.7</v>
      </c>
    </row>
    <row r="36" spans="1:29">
      <c r="A36" s="11">
        <v>1</v>
      </c>
      <c r="B36" s="12" t="s">
        <v>61</v>
      </c>
      <c r="C36" s="13">
        <v>2</v>
      </c>
      <c r="D36" s="60">
        <v>44186</v>
      </c>
      <c r="E36" s="52">
        <v>6.74</v>
      </c>
      <c r="F36" s="56">
        <v>2120</v>
      </c>
      <c r="G36" s="54">
        <v>47</v>
      </c>
      <c r="H36" s="55" t="s">
        <v>33</v>
      </c>
      <c r="I36" s="56">
        <v>8.6999999999999993</v>
      </c>
      <c r="J36" s="56">
        <v>531</v>
      </c>
      <c r="K36" s="53" t="s">
        <v>34</v>
      </c>
      <c r="L36" s="56" t="s">
        <v>35</v>
      </c>
      <c r="M36" s="56" t="s">
        <v>35</v>
      </c>
      <c r="N36" s="63">
        <v>260</v>
      </c>
      <c r="O36" s="56" t="s">
        <v>35</v>
      </c>
      <c r="P36" s="56" t="s">
        <v>37</v>
      </c>
      <c r="Q36" s="56">
        <v>600</v>
      </c>
      <c r="R36" s="56">
        <v>32</v>
      </c>
      <c r="S36" s="56" t="s">
        <v>39</v>
      </c>
      <c r="T36" s="56" t="s">
        <v>42</v>
      </c>
      <c r="U36" s="56">
        <v>568</v>
      </c>
      <c r="V36" s="55"/>
      <c r="W36" s="65">
        <v>1550</v>
      </c>
      <c r="X36" s="53">
        <v>42.2</v>
      </c>
      <c r="Y36" s="53">
        <v>4.93</v>
      </c>
      <c r="Z36" s="53">
        <v>132</v>
      </c>
      <c r="AA36" s="53">
        <v>6.6</v>
      </c>
      <c r="AB36" s="53">
        <v>306</v>
      </c>
      <c r="AC36" s="53">
        <v>60.8</v>
      </c>
    </row>
    <row r="37" spans="1:29" ht="15" thickBot="1">
      <c r="A37" s="24">
        <v>1</v>
      </c>
      <c r="B37" s="25" t="s">
        <v>61</v>
      </c>
      <c r="C37" s="26">
        <v>2</v>
      </c>
      <c r="D37" s="142">
        <v>44160</v>
      </c>
      <c r="E37" s="144">
        <v>6.86</v>
      </c>
      <c r="F37" s="145">
        <v>1850</v>
      </c>
      <c r="G37" s="190">
        <v>7.5</v>
      </c>
      <c r="H37" s="191" t="s">
        <v>33</v>
      </c>
      <c r="I37" s="145">
        <v>10</v>
      </c>
      <c r="J37" s="145">
        <v>610</v>
      </c>
      <c r="K37" s="192" t="s">
        <v>34</v>
      </c>
      <c r="L37" s="145" t="s">
        <v>35</v>
      </c>
      <c r="M37" s="145" t="s">
        <v>36</v>
      </c>
      <c r="N37" s="147">
        <v>232</v>
      </c>
      <c r="O37" s="145" t="s">
        <v>36</v>
      </c>
      <c r="P37" s="145" t="s">
        <v>37</v>
      </c>
      <c r="Q37" s="145">
        <v>290</v>
      </c>
      <c r="R37" s="145">
        <v>35</v>
      </c>
      <c r="S37" s="145" t="s">
        <v>39</v>
      </c>
      <c r="T37" s="145" t="s">
        <v>40</v>
      </c>
      <c r="U37" s="145">
        <v>406</v>
      </c>
      <c r="V37" s="107"/>
      <c r="W37" s="193">
        <v>3.7</v>
      </c>
      <c r="X37" s="192">
        <v>30.1</v>
      </c>
      <c r="Y37" s="192">
        <v>3.55</v>
      </c>
      <c r="Z37" s="192">
        <v>148</v>
      </c>
      <c r="AA37" s="192">
        <v>7.6</v>
      </c>
      <c r="AB37" s="192">
        <v>220</v>
      </c>
      <c r="AC37" s="192">
        <v>42.7</v>
      </c>
    </row>
    <row r="38" spans="1:29" ht="15" thickBot="1">
      <c r="A38" s="162">
        <v>2</v>
      </c>
      <c r="B38" s="163" t="s">
        <v>61</v>
      </c>
      <c r="C38" s="5">
        <v>3</v>
      </c>
      <c r="D38" s="6">
        <v>44159</v>
      </c>
      <c r="E38" s="175">
        <v>6.98</v>
      </c>
      <c r="F38" s="176">
        <v>1720</v>
      </c>
      <c r="G38" s="177">
        <v>5.9</v>
      </c>
      <c r="H38" s="178" t="s">
        <v>33</v>
      </c>
      <c r="I38" s="178">
        <v>10.6</v>
      </c>
      <c r="J38" s="176">
        <v>647</v>
      </c>
      <c r="K38" s="176" t="s">
        <v>34</v>
      </c>
      <c r="L38" s="179" t="s">
        <v>35</v>
      </c>
      <c r="M38" s="176" t="s">
        <v>36</v>
      </c>
      <c r="N38" s="194">
        <v>149</v>
      </c>
      <c r="O38" s="176" t="s">
        <v>36</v>
      </c>
      <c r="P38" s="176" t="s">
        <v>37</v>
      </c>
      <c r="Q38" s="176">
        <v>270</v>
      </c>
      <c r="R38" s="176">
        <v>38</v>
      </c>
      <c r="S38" s="176" t="s">
        <v>39</v>
      </c>
      <c r="T38" s="176" t="s">
        <v>40</v>
      </c>
      <c r="U38" s="176">
        <v>340</v>
      </c>
      <c r="V38" s="195"/>
      <c r="W38" s="196">
        <v>1.6</v>
      </c>
      <c r="X38" s="179">
        <v>19.399999999999999</v>
      </c>
      <c r="Y38" s="179">
        <v>2.68</v>
      </c>
      <c r="Z38" s="179">
        <v>148</v>
      </c>
      <c r="AA38" s="179">
        <v>7.5</v>
      </c>
      <c r="AB38" s="179">
        <v>179</v>
      </c>
      <c r="AC38" s="179">
        <v>38.6</v>
      </c>
    </row>
    <row r="39" spans="1:29" ht="15" thickBot="1">
      <c r="A39" s="170">
        <v>2</v>
      </c>
      <c r="B39" s="165" t="s">
        <v>61</v>
      </c>
      <c r="C39" s="166">
        <v>4</v>
      </c>
      <c r="D39" s="167">
        <v>46085</v>
      </c>
      <c r="E39" s="182"/>
      <c r="F39" s="183"/>
      <c r="G39" s="184"/>
      <c r="H39" s="185"/>
      <c r="I39" s="185"/>
      <c r="J39" s="183"/>
      <c r="K39" s="183"/>
      <c r="L39" s="186"/>
      <c r="M39" s="183"/>
      <c r="N39" s="197">
        <v>553</v>
      </c>
      <c r="O39" s="183"/>
      <c r="P39" s="183"/>
      <c r="Q39" s="183"/>
      <c r="R39" s="183"/>
      <c r="S39" s="183"/>
      <c r="T39" s="183"/>
      <c r="U39" s="183"/>
      <c r="V39" s="198"/>
      <c r="W39" s="199">
        <v>20</v>
      </c>
      <c r="X39" s="186"/>
      <c r="Y39" s="186"/>
      <c r="Z39" s="186"/>
      <c r="AA39" s="186"/>
      <c r="AB39" s="186"/>
      <c r="AC39" s="186"/>
    </row>
    <row r="40" spans="1:29">
      <c r="A40" s="19">
        <v>2</v>
      </c>
      <c r="B40" s="20" t="s">
        <v>61</v>
      </c>
      <c r="C40" s="21">
        <v>4</v>
      </c>
      <c r="D40" s="168">
        <v>45971</v>
      </c>
      <c r="E40" s="74">
        <v>6.64</v>
      </c>
      <c r="F40" s="78">
        <v>2110</v>
      </c>
      <c r="G40" s="76">
        <v>14.7</v>
      </c>
      <c r="H40" s="77" t="s">
        <v>33</v>
      </c>
      <c r="I40" s="78">
        <v>6.5</v>
      </c>
      <c r="J40" s="78">
        <v>397</v>
      </c>
      <c r="K40" s="78" t="s">
        <v>34</v>
      </c>
      <c r="L40" s="78" t="s">
        <v>35</v>
      </c>
      <c r="M40" s="78" t="s">
        <v>36</v>
      </c>
      <c r="N40" s="120">
        <v>571</v>
      </c>
      <c r="O40" s="78">
        <v>0.6</v>
      </c>
      <c r="P40" s="78" t="s">
        <v>37</v>
      </c>
      <c r="Q40" s="78">
        <v>180</v>
      </c>
      <c r="R40" s="78">
        <v>5.0999999999999996</v>
      </c>
      <c r="S40" s="78" t="s">
        <v>39</v>
      </c>
      <c r="T40" s="78" t="s">
        <v>40</v>
      </c>
      <c r="U40" s="78">
        <v>621</v>
      </c>
      <c r="V40" s="78"/>
      <c r="W40" s="200">
        <v>37</v>
      </c>
      <c r="X40" s="78">
        <v>60.8</v>
      </c>
      <c r="Y40" s="78">
        <v>7.98</v>
      </c>
      <c r="Z40" s="78">
        <v>54</v>
      </c>
      <c r="AA40" s="78">
        <v>2.8</v>
      </c>
      <c r="AB40" s="78">
        <v>365</v>
      </c>
      <c r="AC40" s="78">
        <v>47.7</v>
      </c>
    </row>
    <row r="41" spans="1:29">
      <c r="A41" s="11">
        <v>2</v>
      </c>
      <c r="B41" s="12" t="s">
        <v>61</v>
      </c>
      <c r="C41" s="13">
        <v>4</v>
      </c>
      <c r="D41" s="60">
        <v>45644</v>
      </c>
      <c r="E41" s="52">
        <v>6.36</v>
      </c>
      <c r="F41" s="56">
        <v>2170</v>
      </c>
      <c r="G41" s="54">
        <v>48</v>
      </c>
      <c r="H41" s="55" t="s">
        <v>33</v>
      </c>
      <c r="I41" s="56">
        <v>8</v>
      </c>
      <c r="J41" s="56">
        <v>488</v>
      </c>
      <c r="K41" s="56" t="s">
        <v>34</v>
      </c>
      <c r="L41" s="56" t="s">
        <v>35</v>
      </c>
      <c r="M41" s="56" t="s">
        <v>35</v>
      </c>
      <c r="N41" s="63">
        <v>520</v>
      </c>
      <c r="O41" s="56" t="s">
        <v>35</v>
      </c>
      <c r="P41" s="56" t="s">
        <v>37</v>
      </c>
      <c r="Q41" s="56">
        <v>100</v>
      </c>
      <c r="R41" s="56">
        <v>5.0999999999999996</v>
      </c>
      <c r="S41" s="56" t="s">
        <v>39</v>
      </c>
      <c r="T41" s="56" t="s">
        <v>42</v>
      </c>
      <c r="U41" s="56">
        <v>596</v>
      </c>
      <c r="V41" s="56"/>
      <c r="W41" s="136" t="s">
        <v>42</v>
      </c>
      <c r="X41" s="56">
        <v>98.6</v>
      </c>
      <c r="Y41" s="56">
        <v>7.36</v>
      </c>
      <c r="Z41" s="56">
        <v>59.2</v>
      </c>
      <c r="AA41" s="56">
        <v>2.6</v>
      </c>
      <c r="AB41" s="56">
        <v>349</v>
      </c>
      <c r="AC41" s="56">
        <v>46.6</v>
      </c>
    </row>
    <row r="42" spans="1:29">
      <c r="A42" s="34">
        <v>2</v>
      </c>
      <c r="B42" s="12" t="s">
        <v>61</v>
      </c>
      <c r="C42" s="13">
        <v>4</v>
      </c>
      <c r="D42" s="60">
        <v>45616</v>
      </c>
      <c r="E42" s="52">
        <v>6.37</v>
      </c>
      <c r="F42" s="56">
        <v>2490</v>
      </c>
      <c r="G42" s="54">
        <v>58</v>
      </c>
      <c r="H42" s="55" t="s">
        <v>33</v>
      </c>
      <c r="I42" s="55">
        <v>10.199999999999999</v>
      </c>
      <c r="J42" s="56">
        <v>622</v>
      </c>
      <c r="K42" s="56" t="s">
        <v>34</v>
      </c>
      <c r="L42" s="56" t="s">
        <v>35</v>
      </c>
      <c r="M42" s="56" t="s">
        <v>35</v>
      </c>
      <c r="N42" s="63">
        <v>740</v>
      </c>
      <c r="O42" s="56" t="s">
        <v>35</v>
      </c>
      <c r="P42" s="56" t="s">
        <v>37</v>
      </c>
      <c r="Q42" s="56">
        <v>200</v>
      </c>
      <c r="R42" s="56">
        <v>5.0999999999999996</v>
      </c>
      <c r="S42" s="56">
        <v>0.01</v>
      </c>
      <c r="T42" s="56" t="s">
        <v>42</v>
      </c>
      <c r="U42" s="56">
        <v>667</v>
      </c>
      <c r="V42" s="56"/>
      <c r="W42" s="136" t="s">
        <v>42</v>
      </c>
      <c r="X42" s="56">
        <v>119</v>
      </c>
      <c r="Y42" s="56">
        <v>8.11</v>
      </c>
      <c r="Z42" s="56">
        <v>68.400000000000006</v>
      </c>
      <c r="AA42" s="56">
        <v>2.6</v>
      </c>
      <c r="AB42" s="56">
        <v>389</v>
      </c>
      <c r="AC42" s="56">
        <v>53.1</v>
      </c>
    </row>
    <row r="43" spans="1:29">
      <c r="A43" s="34">
        <v>2</v>
      </c>
      <c r="B43" s="12" t="s">
        <v>61</v>
      </c>
      <c r="C43" s="13">
        <v>4</v>
      </c>
      <c r="D43" s="60">
        <v>45006</v>
      </c>
      <c r="E43" s="52">
        <v>6.4</v>
      </c>
      <c r="F43" s="56">
        <v>2400</v>
      </c>
      <c r="G43" s="54">
        <v>24</v>
      </c>
      <c r="H43" s="56" t="s">
        <v>33</v>
      </c>
      <c r="I43" s="56">
        <v>10.1</v>
      </c>
      <c r="J43" s="56">
        <v>616</v>
      </c>
      <c r="K43" s="56" t="s">
        <v>34</v>
      </c>
      <c r="L43" s="56" t="s">
        <v>35</v>
      </c>
      <c r="M43" s="56" t="s">
        <v>35</v>
      </c>
      <c r="N43" s="63">
        <v>530</v>
      </c>
      <c r="O43" s="56" t="s">
        <v>35</v>
      </c>
      <c r="P43" s="56" t="s">
        <v>37</v>
      </c>
      <c r="Q43" s="56">
        <v>100</v>
      </c>
      <c r="R43" s="56">
        <v>5.2</v>
      </c>
      <c r="S43" s="56" t="s">
        <v>39</v>
      </c>
      <c r="T43" s="56" t="s">
        <v>42</v>
      </c>
      <c r="U43" s="56">
        <v>624</v>
      </c>
      <c r="V43" s="12"/>
      <c r="W43" s="136">
        <v>624</v>
      </c>
      <c r="X43" s="56">
        <v>71.5</v>
      </c>
      <c r="Y43" s="56">
        <v>8.5299999999999994</v>
      </c>
      <c r="Z43" s="56">
        <v>48.9</v>
      </c>
      <c r="AA43" s="56">
        <v>2.8</v>
      </c>
      <c r="AB43" s="56">
        <v>370</v>
      </c>
      <c r="AC43" s="56">
        <v>45.9</v>
      </c>
    </row>
    <row r="44" spans="1:29">
      <c r="A44" s="11">
        <v>2</v>
      </c>
      <c r="B44" s="12" t="s">
        <v>61</v>
      </c>
      <c r="C44" s="13">
        <v>4</v>
      </c>
      <c r="D44" s="60">
        <v>44852</v>
      </c>
      <c r="E44" s="52">
        <v>6.6</v>
      </c>
      <c r="F44" s="56">
        <v>2200</v>
      </c>
      <c r="G44" s="54">
        <v>1500</v>
      </c>
      <c r="H44" s="55" t="s">
        <v>33</v>
      </c>
      <c r="I44" s="55">
        <v>7.6</v>
      </c>
      <c r="J44" s="56">
        <v>464</v>
      </c>
      <c r="K44" s="56" t="s">
        <v>34</v>
      </c>
      <c r="L44" s="56" t="s">
        <v>35</v>
      </c>
      <c r="M44" s="56" t="s">
        <v>35</v>
      </c>
      <c r="N44" s="63">
        <v>570</v>
      </c>
      <c r="O44" s="56" t="s">
        <v>35</v>
      </c>
      <c r="P44" s="56">
        <v>0.46</v>
      </c>
      <c r="Q44" s="56">
        <v>200</v>
      </c>
      <c r="R44" s="56">
        <v>5</v>
      </c>
      <c r="S44" s="56">
        <v>0.02</v>
      </c>
      <c r="T44" s="56" t="s">
        <v>42</v>
      </c>
      <c r="U44" s="56">
        <v>595</v>
      </c>
      <c r="V44" s="56"/>
      <c r="W44" s="136">
        <v>69.8</v>
      </c>
      <c r="X44" s="56">
        <v>3.02</v>
      </c>
      <c r="Y44" s="56">
        <v>6.42</v>
      </c>
      <c r="Z44" s="56">
        <v>69.3</v>
      </c>
      <c r="AA44" s="56">
        <v>14.7</v>
      </c>
      <c r="AB44" s="56">
        <v>345</v>
      </c>
      <c r="AC44" s="56">
        <v>48.6</v>
      </c>
    </row>
    <row r="45" spans="1:29">
      <c r="A45" s="11">
        <v>2</v>
      </c>
      <c r="B45" s="12" t="s">
        <v>61</v>
      </c>
      <c r="C45" s="13">
        <v>4</v>
      </c>
      <c r="D45" s="60">
        <v>44249</v>
      </c>
      <c r="E45" s="52">
        <v>6.54</v>
      </c>
      <c r="F45" s="56">
        <v>2310</v>
      </c>
      <c r="G45" s="54">
        <v>11.7</v>
      </c>
      <c r="H45" s="55" t="s">
        <v>33</v>
      </c>
      <c r="I45" s="55">
        <v>9.3000000000000007</v>
      </c>
      <c r="J45" s="56">
        <v>567</v>
      </c>
      <c r="K45" s="56" t="s">
        <v>34</v>
      </c>
      <c r="L45" s="56" t="s">
        <v>35</v>
      </c>
      <c r="M45" s="56" t="s">
        <v>36</v>
      </c>
      <c r="N45" s="63">
        <v>548</v>
      </c>
      <c r="O45" s="56">
        <v>0.6</v>
      </c>
      <c r="P45" s="56" t="s">
        <v>37</v>
      </c>
      <c r="Q45" s="56">
        <v>190</v>
      </c>
      <c r="R45" s="56">
        <v>5.6</v>
      </c>
      <c r="S45" s="56" t="s">
        <v>39</v>
      </c>
      <c r="T45" s="56" t="s">
        <v>40</v>
      </c>
      <c r="U45" s="56">
        <v>655</v>
      </c>
      <c r="V45" s="56"/>
      <c r="W45" s="136">
        <v>31.2</v>
      </c>
      <c r="X45" s="56">
        <v>90</v>
      </c>
      <c r="Y45" s="56">
        <v>7.95</v>
      </c>
      <c r="Z45" s="56">
        <v>53</v>
      </c>
      <c r="AA45" s="56">
        <v>3.3</v>
      </c>
      <c r="AB45" s="56">
        <v>388</v>
      </c>
      <c r="AC45" s="56">
        <v>48.6</v>
      </c>
    </row>
    <row r="46" spans="1:29">
      <c r="A46" s="11">
        <v>2</v>
      </c>
      <c r="B46" s="12" t="s">
        <v>61</v>
      </c>
      <c r="C46" s="13">
        <v>4</v>
      </c>
      <c r="D46" s="60">
        <v>44224</v>
      </c>
      <c r="E46" s="52">
        <v>6.48</v>
      </c>
      <c r="F46" s="56">
        <v>2450</v>
      </c>
      <c r="G46" s="54">
        <v>13.9</v>
      </c>
      <c r="H46" s="55" t="s">
        <v>33</v>
      </c>
      <c r="I46" s="55">
        <v>9.6999999999999993</v>
      </c>
      <c r="J46" s="56">
        <v>592</v>
      </c>
      <c r="K46" s="56" t="s">
        <v>34</v>
      </c>
      <c r="L46" s="53" t="s">
        <v>35</v>
      </c>
      <c r="M46" s="56" t="s">
        <v>36</v>
      </c>
      <c r="N46" s="63">
        <v>583</v>
      </c>
      <c r="O46" s="56">
        <v>0.7</v>
      </c>
      <c r="P46" s="56" t="s">
        <v>37</v>
      </c>
      <c r="Q46" s="56">
        <v>180</v>
      </c>
      <c r="R46" s="56">
        <v>12.1</v>
      </c>
      <c r="S46" s="56" t="s">
        <v>39</v>
      </c>
      <c r="T46" s="56" t="s">
        <v>40</v>
      </c>
      <c r="U46" s="56">
        <v>652</v>
      </c>
      <c r="V46" s="87"/>
      <c r="W46" s="136">
        <v>17.100000000000001</v>
      </c>
      <c r="X46" s="53">
        <v>104</v>
      </c>
      <c r="Y46" s="53">
        <v>7.38</v>
      </c>
      <c r="Z46" s="53">
        <v>60.5</v>
      </c>
      <c r="AA46" s="53">
        <v>4</v>
      </c>
      <c r="AB46" s="53">
        <v>381</v>
      </c>
      <c r="AC46" s="53">
        <v>51.6</v>
      </c>
    </row>
    <row r="47" spans="1:29">
      <c r="A47" s="11">
        <v>2</v>
      </c>
      <c r="B47" s="12" t="s">
        <v>61</v>
      </c>
      <c r="C47" s="13">
        <v>4</v>
      </c>
      <c r="D47" s="60">
        <v>44168</v>
      </c>
      <c r="E47" s="201">
        <v>6.44</v>
      </c>
      <c r="F47" s="202">
        <v>2440</v>
      </c>
      <c r="G47" s="203">
        <v>13.9</v>
      </c>
      <c r="H47" s="201" t="s">
        <v>33</v>
      </c>
      <c r="I47" s="201">
        <v>10.1</v>
      </c>
      <c r="J47" s="201">
        <v>616</v>
      </c>
      <c r="K47" s="201" t="s">
        <v>34</v>
      </c>
      <c r="L47" s="201" t="s">
        <v>35</v>
      </c>
      <c r="M47" s="201" t="s">
        <v>36</v>
      </c>
      <c r="N47" s="204">
        <v>516</v>
      </c>
      <c r="O47" s="201">
        <v>0.7</v>
      </c>
      <c r="P47" s="201" t="s">
        <v>37</v>
      </c>
      <c r="Q47" s="201">
        <v>190</v>
      </c>
      <c r="R47" s="201">
        <v>5.0999999999999996</v>
      </c>
      <c r="S47" s="201" t="s">
        <v>39</v>
      </c>
      <c r="T47" s="201" t="s">
        <v>40</v>
      </c>
      <c r="U47" s="201">
        <v>640</v>
      </c>
      <c r="V47" s="87"/>
      <c r="W47" s="136">
        <v>16.5</v>
      </c>
      <c r="X47" s="201">
        <v>95.1</v>
      </c>
      <c r="Y47" s="201">
        <v>7.26</v>
      </c>
      <c r="Z47" s="201">
        <v>64.599999999999994</v>
      </c>
      <c r="AA47" s="201">
        <v>3.7</v>
      </c>
      <c r="AB47" s="201">
        <v>372</v>
      </c>
      <c r="AC47" s="201">
        <v>51.6</v>
      </c>
    </row>
    <row r="48" spans="1:29" ht="15" thickBot="1">
      <c r="A48" s="15">
        <v>2</v>
      </c>
      <c r="B48" s="16" t="s">
        <v>61</v>
      </c>
      <c r="C48" s="17">
        <v>4</v>
      </c>
      <c r="D48" s="157">
        <v>44168</v>
      </c>
      <c r="E48" s="111">
        <v>6.15</v>
      </c>
      <c r="F48" s="115">
        <v>2450</v>
      </c>
      <c r="G48" s="113"/>
      <c r="H48" s="114"/>
      <c r="I48" s="114"/>
      <c r="J48" s="115"/>
      <c r="K48" s="115"/>
      <c r="L48" s="112"/>
      <c r="M48" s="115"/>
      <c r="N48" s="116"/>
      <c r="O48" s="115"/>
      <c r="P48" s="115"/>
      <c r="Q48" s="115"/>
      <c r="R48" s="115"/>
      <c r="S48" s="115"/>
      <c r="T48" s="115"/>
      <c r="U48" s="115"/>
      <c r="V48" s="71"/>
      <c r="W48" s="160"/>
      <c r="X48" s="112"/>
      <c r="Y48" s="112"/>
      <c r="Z48" s="112"/>
      <c r="AA48" s="112"/>
      <c r="AB48" s="112"/>
      <c r="AC48" s="112"/>
    </row>
    <row r="49" spans="1:29">
      <c r="A49" s="171">
        <v>3</v>
      </c>
      <c r="B49" s="172" t="s">
        <v>61</v>
      </c>
      <c r="C49" s="173">
        <v>5</v>
      </c>
      <c r="D49" s="174">
        <v>44285</v>
      </c>
      <c r="E49" s="205">
        <v>6.75</v>
      </c>
      <c r="F49" s="206">
        <v>2870</v>
      </c>
      <c r="G49" s="207">
        <v>12.3</v>
      </c>
      <c r="H49" s="208" t="s">
        <v>33</v>
      </c>
      <c r="I49" s="208">
        <v>12.6</v>
      </c>
      <c r="J49" s="206">
        <v>769</v>
      </c>
      <c r="K49" s="206" t="s">
        <v>34</v>
      </c>
      <c r="L49" s="209" t="s">
        <v>35</v>
      </c>
      <c r="M49" s="206" t="s">
        <v>36</v>
      </c>
      <c r="N49" s="210">
        <v>589</v>
      </c>
      <c r="O49" s="206">
        <v>1</v>
      </c>
      <c r="P49" s="206" t="s">
        <v>37</v>
      </c>
      <c r="Q49" s="206">
        <v>220</v>
      </c>
      <c r="R49" s="206">
        <v>5.29</v>
      </c>
      <c r="S49" s="206" t="s">
        <v>39</v>
      </c>
      <c r="T49" s="206" t="s">
        <v>40</v>
      </c>
      <c r="U49" s="206">
        <v>875</v>
      </c>
      <c r="V49" s="206"/>
      <c r="W49" s="211">
        <v>258</v>
      </c>
      <c r="X49" s="209">
        <v>14.5</v>
      </c>
      <c r="Y49" s="209">
        <v>6.59</v>
      </c>
      <c r="Z49" s="209">
        <v>64.900000000000006</v>
      </c>
      <c r="AA49" s="209">
        <v>3.9</v>
      </c>
      <c r="AB49" s="209">
        <v>515</v>
      </c>
      <c r="AC49" s="209">
        <v>67.099999999999994</v>
      </c>
    </row>
  </sheetData>
  <conditionalFormatting sqref="J1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{D09FB02B-8FB6-491B-A4D1-32711A0007BA}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9FB02B-8FB6-491B-A4D1-32711A0007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81A3-D134-4A61-82E6-3E880758F456}">
  <dimension ref="A1:AC111"/>
  <sheetViews>
    <sheetView workbookViewId="0">
      <selection activeCell="F2" sqref="F2"/>
    </sheetView>
  </sheetViews>
  <sheetFormatPr defaultRowHeight="14.4"/>
  <cols>
    <col min="3" max="3" width="17.109375" customWidth="1"/>
    <col min="4" max="4" width="11.44140625" customWidth="1"/>
  </cols>
  <sheetData>
    <row r="1" spans="1:29" ht="51.6" thickBot="1">
      <c r="A1" s="1" t="s">
        <v>0</v>
      </c>
      <c r="B1" s="218" t="s">
        <v>63</v>
      </c>
      <c r="C1" s="99" t="s">
        <v>62</v>
      </c>
      <c r="D1" s="2" t="s">
        <v>1</v>
      </c>
      <c r="E1" s="36" t="s">
        <v>4</v>
      </c>
      <c r="F1" s="37" t="s">
        <v>69</v>
      </c>
      <c r="G1" s="36" t="s">
        <v>5</v>
      </c>
      <c r="H1" s="36" t="s">
        <v>6</v>
      </c>
      <c r="I1" s="36" t="s">
        <v>7</v>
      </c>
      <c r="J1" s="37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8" t="s">
        <v>15</v>
      </c>
      <c r="R1" s="36" t="s">
        <v>16</v>
      </c>
      <c r="S1" s="36" t="s">
        <v>17</v>
      </c>
      <c r="T1" s="36" t="s">
        <v>18</v>
      </c>
      <c r="U1" s="36" t="s">
        <v>19</v>
      </c>
      <c r="V1" s="36" t="s">
        <v>20</v>
      </c>
      <c r="W1" s="37" t="s">
        <v>21</v>
      </c>
      <c r="X1" s="37" t="s">
        <v>22</v>
      </c>
      <c r="Y1" s="36" t="s">
        <v>23</v>
      </c>
      <c r="Z1" s="36" t="s">
        <v>24</v>
      </c>
      <c r="AA1" s="36" t="s">
        <v>25</v>
      </c>
      <c r="AB1" s="36" t="s">
        <v>26</v>
      </c>
      <c r="AC1" s="36" t="s">
        <v>27</v>
      </c>
    </row>
    <row r="2" spans="1:29" ht="15.6" thickBot="1">
      <c r="A2" s="3"/>
      <c r="B2" s="4"/>
      <c r="C2" s="5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29">
      <c r="A3" s="150">
        <v>1</v>
      </c>
      <c r="B3" s="8" t="s">
        <v>64</v>
      </c>
      <c r="C3" s="9">
        <v>1</v>
      </c>
      <c r="D3" s="131">
        <v>45980</v>
      </c>
      <c r="E3" s="44">
        <v>4.7699999999999996</v>
      </c>
      <c r="F3" s="48">
        <v>4300</v>
      </c>
      <c r="G3" s="46">
        <v>860</v>
      </c>
      <c r="H3" s="47" t="s">
        <v>33</v>
      </c>
      <c r="I3" s="47">
        <v>11.8</v>
      </c>
      <c r="J3" s="48">
        <v>720</v>
      </c>
      <c r="K3" s="48" t="s">
        <v>34</v>
      </c>
      <c r="L3" s="45" t="s">
        <v>35</v>
      </c>
      <c r="M3" s="48" t="s">
        <v>35</v>
      </c>
      <c r="N3" s="132">
        <v>560</v>
      </c>
      <c r="O3" s="48">
        <v>165</v>
      </c>
      <c r="P3" s="48">
        <v>15</v>
      </c>
      <c r="Q3" s="48">
        <v>100</v>
      </c>
      <c r="R3" s="48">
        <v>68</v>
      </c>
      <c r="S3" s="48">
        <v>0.17</v>
      </c>
      <c r="T3" s="48" t="s">
        <v>42</v>
      </c>
      <c r="U3" s="48">
        <v>977</v>
      </c>
      <c r="V3" s="48"/>
      <c r="W3" s="133">
        <v>240</v>
      </c>
      <c r="X3" s="45">
        <v>267</v>
      </c>
      <c r="Y3" s="45">
        <v>7.02</v>
      </c>
      <c r="Z3" s="45">
        <v>256</v>
      </c>
      <c r="AA3" s="45">
        <v>43.5</v>
      </c>
      <c r="AB3" s="45">
        <v>562</v>
      </c>
      <c r="AC3" s="45">
        <v>82.8</v>
      </c>
    </row>
    <row r="4" spans="1:29">
      <c r="A4" s="11">
        <v>1</v>
      </c>
      <c r="B4" s="12" t="s">
        <v>64</v>
      </c>
      <c r="C4" s="13">
        <v>1</v>
      </c>
      <c r="D4" s="60">
        <v>45782</v>
      </c>
      <c r="E4" s="52">
        <v>4.74</v>
      </c>
      <c r="F4" s="56">
        <v>3810</v>
      </c>
      <c r="G4" s="54">
        <v>1700</v>
      </c>
      <c r="H4" s="55" t="s">
        <v>33</v>
      </c>
      <c r="I4" s="56">
        <v>13</v>
      </c>
      <c r="J4" s="56">
        <v>793</v>
      </c>
      <c r="K4" s="56" t="s">
        <v>34</v>
      </c>
      <c r="L4" s="56" t="s">
        <v>35</v>
      </c>
      <c r="M4" s="56" t="s">
        <v>35</v>
      </c>
      <c r="N4" s="63">
        <v>520</v>
      </c>
      <c r="O4" s="56">
        <v>20</v>
      </c>
      <c r="P4" s="56">
        <v>68</v>
      </c>
      <c r="Q4" s="56" t="s">
        <v>41</v>
      </c>
      <c r="R4" s="56">
        <v>56</v>
      </c>
      <c r="S4" s="56">
        <v>7.0000000000000007E-2</v>
      </c>
      <c r="T4" s="56" t="s">
        <v>42</v>
      </c>
      <c r="U4" s="56">
        <v>912</v>
      </c>
      <c r="V4" s="56"/>
      <c r="W4" s="136">
        <v>86</v>
      </c>
      <c r="X4" s="56">
        <v>165</v>
      </c>
      <c r="Y4" s="56">
        <v>6.36</v>
      </c>
      <c r="Z4" s="56">
        <v>265</v>
      </c>
      <c r="AA4" s="56">
        <v>40.4</v>
      </c>
      <c r="AB4" s="56">
        <v>526</v>
      </c>
      <c r="AC4" s="56">
        <v>76.2</v>
      </c>
    </row>
    <row r="5" spans="1:29">
      <c r="A5" s="11">
        <v>1</v>
      </c>
      <c r="B5" s="12" t="s">
        <v>64</v>
      </c>
      <c r="C5" s="13">
        <v>1</v>
      </c>
      <c r="D5" s="60">
        <v>45706</v>
      </c>
      <c r="E5" s="52"/>
      <c r="F5" s="56"/>
      <c r="G5" s="54"/>
      <c r="H5" s="55"/>
      <c r="I5" s="55"/>
      <c r="J5" s="56"/>
      <c r="K5" s="56"/>
      <c r="L5" s="53"/>
      <c r="M5" s="56"/>
      <c r="N5" s="63">
        <v>420</v>
      </c>
      <c r="O5" s="56"/>
      <c r="P5" s="56"/>
      <c r="Q5" s="56"/>
      <c r="R5" s="56"/>
      <c r="S5" s="56"/>
      <c r="T5" s="56"/>
      <c r="U5" s="56"/>
      <c r="V5" s="56"/>
      <c r="W5" s="136">
        <v>744</v>
      </c>
      <c r="X5" s="53"/>
      <c r="Y5" s="53"/>
      <c r="Z5" s="53"/>
      <c r="AA5" s="53"/>
      <c r="AB5" s="53"/>
      <c r="AC5" s="53"/>
    </row>
    <row r="6" spans="1:29" ht="15" thickBot="1">
      <c r="A6" s="24">
        <v>1</v>
      </c>
      <c r="B6" s="25" t="s">
        <v>64</v>
      </c>
      <c r="C6" s="26">
        <v>1</v>
      </c>
      <c r="D6" s="142">
        <v>44159</v>
      </c>
      <c r="E6" s="144">
        <v>7.79</v>
      </c>
      <c r="F6" s="145">
        <v>1050</v>
      </c>
      <c r="G6" s="190">
        <v>1.7</v>
      </c>
      <c r="H6" s="191" t="s">
        <v>33</v>
      </c>
      <c r="I6" s="191">
        <v>9.9</v>
      </c>
      <c r="J6" s="145">
        <v>604</v>
      </c>
      <c r="K6" s="145" t="s">
        <v>34</v>
      </c>
      <c r="L6" s="192" t="s">
        <v>35</v>
      </c>
      <c r="M6" s="145" t="s">
        <v>36</v>
      </c>
      <c r="N6" s="147">
        <v>55</v>
      </c>
      <c r="O6" s="145" t="s">
        <v>36</v>
      </c>
      <c r="P6" s="145" t="s">
        <v>37</v>
      </c>
      <c r="Q6" s="145">
        <v>70</v>
      </c>
      <c r="R6" s="145">
        <v>0.3</v>
      </c>
      <c r="S6" s="145" t="s">
        <v>39</v>
      </c>
      <c r="T6" s="145" t="s">
        <v>40</v>
      </c>
      <c r="U6" s="145">
        <v>227</v>
      </c>
      <c r="V6" s="107"/>
      <c r="W6" s="148">
        <v>0.9</v>
      </c>
      <c r="X6" s="192">
        <v>0.4</v>
      </c>
      <c r="Y6" s="192">
        <v>1.1100000000000001</v>
      </c>
      <c r="Z6" s="192">
        <v>124</v>
      </c>
      <c r="AA6" s="192">
        <v>1.7</v>
      </c>
      <c r="AB6" s="192">
        <v>106</v>
      </c>
      <c r="AC6" s="192">
        <v>34</v>
      </c>
    </row>
    <row r="7" spans="1:29">
      <c r="A7" s="150">
        <v>1</v>
      </c>
      <c r="B7" s="8" t="s">
        <v>64</v>
      </c>
      <c r="C7" s="9">
        <v>2</v>
      </c>
      <c r="D7" s="131">
        <v>46085</v>
      </c>
      <c r="E7" s="44"/>
      <c r="F7" s="48"/>
      <c r="G7" s="46"/>
      <c r="H7" s="47"/>
      <c r="I7" s="47"/>
      <c r="J7" s="48"/>
      <c r="K7" s="48"/>
      <c r="L7" s="45"/>
      <c r="M7" s="48"/>
      <c r="N7" s="132">
        <v>560</v>
      </c>
      <c r="O7" s="48"/>
      <c r="P7" s="48"/>
      <c r="Q7" s="48"/>
      <c r="R7" s="48"/>
      <c r="S7" s="48"/>
      <c r="T7" s="48"/>
      <c r="U7" s="48"/>
      <c r="V7" s="213"/>
      <c r="W7" s="133">
        <v>320</v>
      </c>
      <c r="X7" s="45"/>
      <c r="Y7" s="45"/>
      <c r="Z7" s="45"/>
      <c r="AA7" s="45"/>
      <c r="AB7" s="45"/>
      <c r="AC7" s="45"/>
    </row>
    <row r="8" spans="1:29">
      <c r="A8" s="34">
        <v>1</v>
      </c>
      <c r="B8" s="12" t="s">
        <v>64</v>
      </c>
      <c r="C8" s="13">
        <v>2</v>
      </c>
      <c r="D8" s="60">
        <v>45971</v>
      </c>
      <c r="E8" s="52">
        <v>4.83</v>
      </c>
      <c r="F8" s="56">
        <v>3750</v>
      </c>
      <c r="G8" s="54">
        <v>730</v>
      </c>
      <c r="H8" s="55" t="s">
        <v>33</v>
      </c>
      <c r="I8" s="55">
        <v>12.7</v>
      </c>
      <c r="J8" s="56">
        <v>775</v>
      </c>
      <c r="K8" s="56" t="s">
        <v>34</v>
      </c>
      <c r="L8" s="53" t="s">
        <v>35</v>
      </c>
      <c r="M8" s="56" t="s">
        <v>35</v>
      </c>
      <c r="N8" s="63">
        <v>550</v>
      </c>
      <c r="O8" s="56" t="s">
        <v>35</v>
      </c>
      <c r="P8" s="56">
        <v>13</v>
      </c>
      <c r="Q8" s="56" t="s">
        <v>41</v>
      </c>
      <c r="R8" s="56">
        <v>7.3</v>
      </c>
      <c r="S8" s="56">
        <v>0.1</v>
      </c>
      <c r="T8" s="56" t="s">
        <v>42</v>
      </c>
      <c r="U8" s="56">
        <v>983</v>
      </c>
      <c r="V8" s="56"/>
      <c r="W8" s="136">
        <v>319</v>
      </c>
      <c r="X8" s="53">
        <v>254</v>
      </c>
      <c r="Y8" s="53">
        <v>7.04</v>
      </c>
      <c r="Z8" s="53">
        <v>262</v>
      </c>
      <c r="AA8" s="53">
        <v>28.5</v>
      </c>
      <c r="AB8" s="53">
        <v>574</v>
      </c>
      <c r="AC8" s="53">
        <v>77.900000000000006</v>
      </c>
    </row>
    <row r="9" spans="1:29">
      <c r="A9" s="11">
        <v>1</v>
      </c>
      <c r="B9" s="12" t="s">
        <v>64</v>
      </c>
      <c r="C9" s="13">
        <v>2</v>
      </c>
      <c r="D9" s="60">
        <v>45895</v>
      </c>
      <c r="E9" s="52"/>
      <c r="F9" s="56"/>
      <c r="G9" s="54"/>
      <c r="H9" s="55"/>
      <c r="I9" s="55"/>
      <c r="J9" s="56"/>
      <c r="K9" s="56"/>
      <c r="L9" s="53"/>
      <c r="M9" s="56"/>
      <c r="N9" s="63">
        <v>539</v>
      </c>
      <c r="O9" s="56"/>
      <c r="P9" s="56"/>
      <c r="Q9" s="56"/>
      <c r="R9" s="56"/>
      <c r="S9" s="56"/>
      <c r="T9" s="56"/>
      <c r="U9" s="56"/>
      <c r="V9" s="56"/>
      <c r="W9" s="136">
        <v>146</v>
      </c>
      <c r="X9" s="53"/>
      <c r="Y9" s="53"/>
      <c r="Z9" s="53"/>
      <c r="AA9" s="53"/>
      <c r="AB9" s="53"/>
      <c r="AC9" s="53"/>
    </row>
    <row r="10" spans="1:29">
      <c r="A10" s="11">
        <v>1</v>
      </c>
      <c r="B10" s="12" t="s">
        <v>64</v>
      </c>
      <c r="C10" s="13">
        <v>2</v>
      </c>
      <c r="D10" s="60">
        <v>45792</v>
      </c>
      <c r="E10" s="52">
        <v>5.42</v>
      </c>
      <c r="F10" s="52">
        <v>3330</v>
      </c>
      <c r="G10" s="84">
        <v>380</v>
      </c>
      <c r="H10" s="52" t="s">
        <v>33</v>
      </c>
      <c r="I10" s="52">
        <v>14.9</v>
      </c>
      <c r="J10" s="52">
        <v>909</v>
      </c>
      <c r="K10" s="52" t="s">
        <v>34</v>
      </c>
      <c r="L10" s="52" t="s">
        <v>35</v>
      </c>
      <c r="M10" s="52" t="s">
        <v>35</v>
      </c>
      <c r="N10" s="63">
        <v>690</v>
      </c>
      <c r="O10" s="52">
        <v>3</v>
      </c>
      <c r="P10" s="52">
        <v>6.6</v>
      </c>
      <c r="Q10" s="52" t="s">
        <v>41</v>
      </c>
      <c r="R10" s="52">
        <v>8.5</v>
      </c>
      <c r="S10" s="52">
        <v>0.03</v>
      </c>
      <c r="T10" s="52" t="s">
        <v>42</v>
      </c>
      <c r="U10" s="52">
        <v>770</v>
      </c>
      <c r="V10" s="56"/>
      <c r="W10" s="136">
        <v>777</v>
      </c>
      <c r="X10" s="56">
        <v>110</v>
      </c>
      <c r="Y10" s="56">
        <v>5.64</v>
      </c>
      <c r="Z10" s="56">
        <v>264</v>
      </c>
      <c r="AA10" s="56">
        <v>13.2</v>
      </c>
      <c r="AB10" s="56">
        <v>451</v>
      </c>
      <c r="AC10" s="56">
        <v>60.1</v>
      </c>
    </row>
    <row r="11" spans="1:29">
      <c r="A11" s="34">
        <v>1</v>
      </c>
      <c r="B11" s="12" t="s">
        <v>64</v>
      </c>
      <c r="C11" s="13">
        <v>2</v>
      </c>
      <c r="D11" s="60">
        <v>45629</v>
      </c>
      <c r="E11" s="52">
        <v>6.55</v>
      </c>
      <c r="F11" s="56">
        <v>2740</v>
      </c>
      <c r="G11" s="54">
        <v>41</v>
      </c>
      <c r="H11" s="55" t="s">
        <v>33</v>
      </c>
      <c r="I11" s="56">
        <v>20.399999999999999</v>
      </c>
      <c r="J11" s="56">
        <v>1240</v>
      </c>
      <c r="K11" s="56" t="s">
        <v>34</v>
      </c>
      <c r="L11" s="56" t="s">
        <v>35</v>
      </c>
      <c r="M11" s="56" t="s">
        <v>35</v>
      </c>
      <c r="N11" s="63">
        <v>420</v>
      </c>
      <c r="O11" s="56" t="s">
        <v>35</v>
      </c>
      <c r="P11" s="56" t="s">
        <v>37</v>
      </c>
      <c r="Q11" s="56" t="s">
        <v>41</v>
      </c>
      <c r="R11" s="56">
        <v>4.7</v>
      </c>
      <c r="S11" s="56" t="s">
        <v>39</v>
      </c>
      <c r="T11" s="56" t="s">
        <v>42</v>
      </c>
      <c r="U11" s="56">
        <v>639</v>
      </c>
      <c r="V11" s="56"/>
      <c r="W11" s="136">
        <v>338</v>
      </c>
      <c r="X11" s="56">
        <v>35.6</v>
      </c>
      <c r="Y11" s="56">
        <v>4.0199999999999996</v>
      </c>
      <c r="Z11" s="56">
        <v>251</v>
      </c>
      <c r="AA11" s="56">
        <v>3.4</v>
      </c>
      <c r="AB11" s="56">
        <v>375</v>
      </c>
      <c r="AC11" s="56">
        <v>49.5</v>
      </c>
    </row>
    <row r="12" spans="1:29">
      <c r="A12" s="34">
        <v>1</v>
      </c>
      <c r="B12" s="12" t="s">
        <v>64</v>
      </c>
      <c r="C12" s="13">
        <v>2</v>
      </c>
      <c r="D12" s="60">
        <v>45616</v>
      </c>
      <c r="E12" s="52">
        <v>6.51</v>
      </c>
      <c r="F12" s="56">
        <v>2720</v>
      </c>
      <c r="G12" s="54">
        <v>33</v>
      </c>
      <c r="H12" s="55" t="s">
        <v>33</v>
      </c>
      <c r="I12" s="56">
        <v>20.399999999999999</v>
      </c>
      <c r="J12" s="56">
        <v>1240</v>
      </c>
      <c r="K12" s="56" t="s">
        <v>34</v>
      </c>
      <c r="L12" s="56" t="s">
        <v>35</v>
      </c>
      <c r="M12" s="56" t="s">
        <v>35</v>
      </c>
      <c r="N12" s="63">
        <v>440</v>
      </c>
      <c r="O12" s="56" t="s">
        <v>35</v>
      </c>
      <c r="P12" s="56" t="s">
        <v>37</v>
      </c>
      <c r="Q12" s="56" t="s">
        <v>41</v>
      </c>
      <c r="R12" s="56">
        <v>3.9</v>
      </c>
      <c r="S12" s="56">
        <v>0.01</v>
      </c>
      <c r="T12" s="56" t="s">
        <v>42</v>
      </c>
      <c r="U12" s="56">
        <v>641</v>
      </c>
      <c r="V12" s="56"/>
      <c r="W12" s="136">
        <v>847</v>
      </c>
      <c r="X12" s="56">
        <v>34</v>
      </c>
      <c r="Y12" s="56">
        <v>4.09</v>
      </c>
      <c r="Z12" s="56">
        <v>258</v>
      </c>
      <c r="AA12" s="56">
        <v>3.1</v>
      </c>
      <c r="AB12" s="56">
        <v>377</v>
      </c>
      <c r="AC12" s="56">
        <v>49.2</v>
      </c>
    </row>
    <row r="13" spans="1:29">
      <c r="A13" s="34">
        <v>1</v>
      </c>
      <c r="B13" s="12" t="s">
        <v>64</v>
      </c>
      <c r="C13" s="13">
        <v>2</v>
      </c>
      <c r="D13" s="60">
        <v>45567</v>
      </c>
      <c r="E13" s="52">
        <v>6.4</v>
      </c>
      <c r="F13" s="56">
        <v>3030</v>
      </c>
      <c r="G13" s="54">
        <v>30</v>
      </c>
      <c r="H13" s="56" t="s">
        <v>33</v>
      </c>
      <c r="I13" s="56">
        <v>20.6</v>
      </c>
      <c r="J13" s="56">
        <v>12160</v>
      </c>
      <c r="K13" s="56" t="s">
        <v>34</v>
      </c>
      <c r="L13" s="56" t="s">
        <v>35</v>
      </c>
      <c r="M13" s="56" t="s">
        <v>35</v>
      </c>
      <c r="N13" s="63">
        <v>490</v>
      </c>
      <c r="O13" s="56" t="s">
        <v>35</v>
      </c>
      <c r="P13" s="56" t="s">
        <v>37</v>
      </c>
      <c r="Q13" s="56" t="s">
        <v>41</v>
      </c>
      <c r="R13" s="56">
        <v>4.2</v>
      </c>
      <c r="S13" s="56" t="s">
        <v>39</v>
      </c>
      <c r="T13" s="56" t="s">
        <v>42</v>
      </c>
      <c r="U13" s="56">
        <v>661</v>
      </c>
      <c r="V13" s="12"/>
      <c r="W13" s="136">
        <v>167</v>
      </c>
      <c r="X13" s="56">
        <v>37.9</v>
      </c>
      <c r="Y13" s="56">
        <v>4.0199999999999996</v>
      </c>
      <c r="Z13" s="56">
        <v>257</v>
      </c>
      <c r="AA13" s="56">
        <v>3.7</v>
      </c>
      <c r="AB13" s="56">
        <v>385</v>
      </c>
      <c r="AC13" s="56">
        <v>53.1</v>
      </c>
    </row>
    <row r="14" spans="1:29">
      <c r="A14" s="34">
        <v>1</v>
      </c>
      <c r="B14" s="12" t="s">
        <v>64</v>
      </c>
      <c r="C14" s="13">
        <v>2</v>
      </c>
      <c r="D14" s="60">
        <v>45538</v>
      </c>
      <c r="E14" s="52">
        <v>6.53</v>
      </c>
      <c r="F14" s="56">
        <v>3650</v>
      </c>
      <c r="G14" s="54">
        <v>38</v>
      </c>
      <c r="H14" s="55" t="s">
        <v>33</v>
      </c>
      <c r="I14" s="56">
        <v>18.399999999999999</v>
      </c>
      <c r="J14" s="56">
        <v>1120</v>
      </c>
      <c r="K14" s="56" t="s">
        <v>34</v>
      </c>
      <c r="L14" s="56" t="s">
        <v>35</v>
      </c>
      <c r="M14" s="56" t="s">
        <v>35</v>
      </c>
      <c r="N14" s="63">
        <v>470</v>
      </c>
      <c r="O14" s="56" t="s">
        <v>35</v>
      </c>
      <c r="P14" s="56" t="s">
        <v>37</v>
      </c>
      <c r="Q14" s="56" t="s">
        <v>41</v>
      </c>
      <c r="R14" s="56">
        <v>4.5</v>
      </c>
      <c r="S14" s="56" t="s">
        <v>39</v>
      </c>
      <c r="T14" s="56" t="s">
        <v>42</v>
      </c>
      <c r="U14" s="56">
        <v>673</v>
      </c>
      <c r="V14" s="56"/>
      <c r="W14" s="136">
        <v>300</v>
      </c>
      <c r="X14" s="56">
        <v>2.81</v>
      </c>
      <c r="Y14" s="56">
        <v>4.05</v>
      </c>
      <c r="Z14" s="56">
        <v>269</v>
      </c>
      <c r="AA14" s="56">
        <v>402</v>
      </c>
      <c r="AB14" s="56">
        <v>395</v>
      </c>
      <c r="AC14" s="56">
        <v>52.2</v>
      </c>
    </row>
    <row r="15" spans="1:29">
      <c r="A15" s="34">
        <v>1</v>
      </c>
      <c r="B15" s="12" t="s">
        <v>64</v>
      </c>
      <c r="C15" s="13">
        <v>2</v>
      </c>
      <c r="D15" s="60">
        <v>45510</v>
      </c>
      <c r="E15" s="52">
        <v>6.25</v>
      </c>
      <c r="F15" s="56">
        <v>3110</v>
      </c>
      <c r="G15" s="54">
        <v>67</v>
      </c>
      <c r="H15" s="55" t="s">
        <v>33</v>
      </c>
      <c r="I15" s="56">
        <v>17.7</v>
      </c>
      <c r="J15" s="56">
        <v>1080</v>
      </c>
      <c r="K15" s="56" t="s">
        <v>34</v>
      </c>
      <c r="L15" s="56" t="s">
        <v>35</v>
      </c>
      <c r="M15" s="56" t="s">
        <v>35</v>
      </c>
      <c r="N15" s="63">
        <v>400</v>
      </c>
      <c r="O15" s="56" t="s">
        <v>35</v>
      </c>
      <c r="P15" s="56" t="s">
        <v>37</v>
      </c>
      <c r="Q15" s="56" t="s">
        <v>41</v>
      </c>
      <c r="R15" s="56">
        <v>3.3</v>
      </c>
      <c r="S15" s="56" t="s">
        <v>39</v>
      </c>
      <c r="T15" s="56" t="s">
        <v>42</v>
      </c>
      <c r="U15" s="56">
        <v>657</v>
      </c>
      <c r="V15" s="56"/>
      <c r="W15" s="136">
        <v>329</v>
      </c>
      <c r="X15" s="56">
        <v>46.5</v>
      </c>
      <c r="Y15" s="56">
        <v>4.0199999999999996</v>
      </c>
      <c r="Z15" s="56">
        <v>265</v>
      </c>
      <c r="AA15" s="56">
        <v>5</v>
      </c>
      <c r="AB15" s="56">
        <v>384</v>
      </c>
      <c r="AC15" s="56">
        <v>52</v>
      </c>
    </row>
    <row r="16" spans="1:29">
      <c r="A16" s="34">
        <v>1</v>
      </c>
      <c r="B16" s="12" t="s">
        <v>64</v>
      </c>
      <c r="C16" s="13">
        <v>2</v>
      </c>
      <c r="D16" s="60">
        <v>45482</v>
      </c>
      <c r="E16" s="52">
        <v>6.05</v>
      </c>
      <c r="F16" s="56">
        <v>3080</v>
      </c>
      <c r="G16" s="54">
        <v>60</v>
      </c>
      <c r="H16" s="55" t="s">
        <v>33</v>
      </c>
      <c r="I16" s="56">
        <v>17.2</v>
      </c>
      <c r="J16" s="56">
        <v>1050</v>
      </c>
      <c r="K16" s="56" t="s">
        <v>34</v>
      </c>
      <c r="L16" s="56" t="s">
        <v>35</v>
      </c>
      <c r="M16" s="56" t="s">
        <v>35</v>
      </c>
      <c r="N16" s="63">
        <v>490</v>
      </c>
      <c r="O16" s="56" t="s">
        <v>35</v>
      </c>
      <c r="P16" s="56">
        <v>3.19</v>
      </c>
      <c r="Q16" s="56" t="s">
        <v>41</v>
      </c>
      <c r="R16" s="56" t="s">
        <v>55</v>
      </c>
      <c r="S16" s="56" t="s">
        <v>39</v>
      </c>
      <c r="T16" s="56" t="s">
        <v>42</v>
      </c>
      <c r="U16" s="56">
        <v>740</v>
      </c>
      <c r="V16" s="56"/>
      <c r="W16" s="136">
        <v>364</v>
      </c>
      <c r="X16" s="56">
        <v>48.7</v>
      </c>
      <c r="Y16" s="56">
        <v>4.67</v>
      </c>
      <c r="Z16" s="56">
        <v>269</v>
      </c>
      <c r="AA16" s="56">
        <v>3.9</v>
      </c>
      <c r="AB16" s="56">
        <v>433</v>
      </c>
      <c r="AC16" s="56">
        <v>58</v>
      </c>
    </row>
    <row r="17" spans="1:29">
      <c r="A17" s="34">
        <v>1</v>
      </c>
      <c r="B17" s="12" t="s">
        <v>64</v>
      </c>
      <c r="C17" s="13">
        <v>2</v>
      </c>
      <c r="D17" s="60">
        <v>45454</v>
      </c>
      <c r="E17" s="52">
        <v>6.46</v>
      </c>
      <c r="F17" s="56">
        <v>2870</v>
      </c>
      <c r="G17" s="54">
        <v>28</v>
      </c>
      <c r="H17" s="55" t="s">
        <v>33</v>
      </c>
      <c r="I17" s="56">
        <v>19.899999999999999</v>
      </c>
      <c r="J17" s="56">
        <v>1210</v>
      </c>
      <c r="K17" s="56" t="s">
        <v>34</v>
      </c>
      <c r="L17" s="56" t="s">
        <v>35</v>
      </c>
      <c r="M17" s="56" t="s">
        <v>35</v>
      </c>
      <c r="N17" s="63">
        <v>450</v>
      </c>
      <c r="O17" s="56" t="s">
        <v>35</v>
      </c>
      <c r="P17" s="56" t="s">
        <v>37</v>
      </c>
      <c r="Q17" s="56" t="s">
        <v>41</v>
      </c>
      <c r="R17" s="56">
        <v>6.3</v>
      </c>
      <c r="S17" s="56" t="s">
        <v>39</v>
      </c>
      <c r="T17" s="56" t="s">
        <v>42</v>
      </c>
      <c r="U17" s="56">
        <v>643</v>
      </c>
      <c r="V17" s="56"/>
      <c r="W17" s="136">
        <v>294</v>
      </c>
      <c r="X17" s="56">
        <v>41.9</v>
      </c>
      <c r="Y17" s="56">
        <v>3.84</v>
      </c>
      <c r="Z17" s="56">
        <v>257</v>
      </c>
      <c r="AA17" s="56">
        <v>3.8</v>
      </c>
      <c r="AB17" s="56">
        <v>377</v>
      </c>
      <c r="AC17" s="56">
        <v>50.2</v>
      </c>
    </row>
    <row r="18" spans="1:29">
      <c r="A18" s="34">
        <v>1</v>
      </c>
      <c r="B18" s="12" t="s">
        <v>64</v>
      </c>
      <c r="C18" s="13">
        <v>2</v>
      </c>
      <c r="D18" s="60">
        <v>45426</v>
      </c>
      <c r="E18" s="52">
        <v>6.8</v>
      </c>
      <c r="F18" s="56">
        <v>3080</v>
      </c>
      <c r="G18" s="54">
        <v>71</v>
      </c>
      <c r="H18" s="55" t="s">
        <v>33</v>
      </c>
      <c r="I18" s="56">
        <v>19.899999999999999</v>
      </c>
      <c r="J18" s="56">
        <v>1210</v>
      </c>
      <c r="K18" s="56" t="s">
        <v>34</v>
      </c>
      <c r="L18" s="56" t="s">
        <v>35</v>
      </c>
      <c r="M18" s="56" t="s">
        <v>35</v>
      </c>
      <c r="N18" s="63">
        <v>490</v>
      </c>
      <c r="O18" s="56" t="s">
        <v>35</v>
      </c>
      <c r="P18" s="56">
        <v>0.12</v>
      </c>
      <c r="Q18" s="56" t="s">
        <v>41</v>
      </c>
      <c r="R18" s="56">
        <v>5.9</v>
      </c>
      <c r="S18" s="56">
        <v>0.03</v>
      </c>
      <c r="T18" s="56" t="s">
        <v>42</v>
      </c>
      <c r="U18" s="56">
        <v>684</v>
      </c>
      <c r="V18" s="56"/>
      <c r="W18" s="136">
        <v>465</v>
      </c>
      <c r="X18" s="56">
        <v>52.4</v>
      </c>
      <c r="Y18" s="56">
        <v>4</v>
      </c>
      <c r="Z18" s="56">
        <v>282</v>
      </c>
      <c r="AA18" s="56">
        <v>6.1</v>
      </c>
      <c r="AB18" s="56">
        <v>397</v>
      </c>
      <c r="AC18" s="56">
        <v>55.5</v>
      </c>
    </row>
    <row r="19" spans="1:29">
      <c r="A19" s="34">
        <v>1</v>
      </c>
      <c r="B19" s="12" t="s">
        <v>64</v>
      </c>
      <c r="C19" s="13">
        <v>2</v>
      </c>
      <c r="D19" s="60">
        <v>45384</v>
      </c>
      <c r="E19" s="52">
        <v>6.5</v>
      </c>
      <c r="F19" s="56">
        <v>3030</v>
      </c>
      <c r="G19" s="54">
        <v>18.399999999999999</v>
      </c>
      <c r="H19" s="55" t="s">
        <v>33</v>
      </c>
      <c r="I19" s="56">
        <v>21.3</v>
      </c>
      <c r="J19" s="56">
        <v>1300</v>
      </c>
      <c r="K19" s="56" t="s">
        <v>34</v>
      </c>
      <c r="L19" s="56" t="s">
        <v>35</v>
      </c>
      <c r="M19" s="56" t="s">
        <v>35</v>
      </c>
      <c r="N19" s="63">
        <v>430</v>
      </c>
      <c r="O19" s="56" t="s">
        <v>35</v>
      </c>
      <c r="P19" s="56" t="s">
        <v>37</v>
      </c>
      <c r="Q19" s="56" t="s">
        <v>41</v>
      </c>
      <c r="R19" s="56">
        <v>3.3</v>
      </c>
      <c r="S19" s="56">
        <v>0.02</v>
      </c>
      <c r="T19" s="56" t="s">
        <v>42</v>
      </c>
      <c r="U19" s="56">
        <v>692</v>
      </c>
      <c r="V19" s="56"/>
      <c r="W19" s="136">
        <v>758</v>
      </c>
      <c r="X19" s="56">
        <v>55.8</v>
      </c>
      <c r="Y19" s="56">
        <v>4.1100000000000003</v>
      </c>
      <c r="Z19" s="56">
        <v>287</v>
      </c>
      <c r="AA19" s="56">
        <v>5.3</v>
      </c>
      <c r="AB19" s="56">
        <v>402</v>
      </c>
      <c r="AC19" s="56">
        <v>56.1</v>
      </c>
    </row>
    <row r="20" spans="1:29">
      <c r="A20" s="34">
        <v>1</v>
      </c>
      <c r="B20" s="12" t="s">
        <v>64</v>
      </c>
      <c r="C20" s="13">
        <v>2</v>
      </c>
      <c r="D20" s="60">
        <v>45357</v>
      </c>
      <c r="E20" s="52">
        <v>6.41</v>
      </c>
      <c r="F20" s="56">
        <v>2930</v>
      </c>
      <c r="G20" s="54">
        <v>45</v>
      </c>
      <c r="H20" s="55" t="s">
        <v>33</v>
      </c>
      <c r="I20" s="56">
        <v>20.2</v>
      </c>
      <c r="J20" s="56">
        <v>1230</v>
      </c>
      <c r="K20" s="56" t="s">
        <v>34</v>
      </c>
      <c r="L20" s="56" t="s">
        <v>35</v>
      </c>
      <c r="M20" s="56" t="s">
        <v>35</v>
      </c>
      <c r="N20" s="63">
        <v>430</v>
      </c>
      <c r="O20" s="56" t="s">
        <v>35</v>
      </c>
      <c r="P20" s="56" t="s">
        <v>37</v>
      </c>
      <c r="Q20" s="56" t="s">
        <v>41</v>
      </c>
      <c r="R20" s="56">
        <v>2</v>
      </c>
      <c r="S20" s="56">
        <v>0.02</v>
      </c>
      <c r="T20" s="56" t="s">
        <v>42</v>
      </c>
      <c r="U20" s="56">
        <v>643</v>
      </c>
      <c r="V20" s="56"/>
      <c r="W20" s="136">
        <v>379</v>
      </c>
      <c r="X20" s="56">
        <v>40.200000000000003</v>
      </c>
      <c r="Y20" s="56">
        <v>3.99</v>
      </c>
      <c r="Z20" s="56">
        <v>253</v>
      </c>
      <c r="AA20" s="56">
        <v>4.3</v>
      </c>
      <c r="AB20" s="56">
        <v>377</v>
      </c>
      <c r="AC20" s="56">
        <v>50.2</v>
      </c>
    </row>
    <row r="21" spans="1:29">
      <c r="A21" s="34">
        <v>1</v>
      </c>
      <c r="B21" s="12" t="s">
        <v>64</v>
      </c>
      <c r="C21" s="13">
        <v>2</v>
      </c>
      <c r="D21" s="60">
        <v>45328</v>
      </c>
      <c r="E21" s="52">
        <v>6.21</v>
      </c>
      <c r="F21" s="56">
        <v>2980</v>
      </c>
      <c r="G21" s="54">
        <v>38</v>
      </c>
      <c r="H21" s="55" t="s">
        <v>33</v>
      </c>
      <c r="I21" s="55">
        <v>17.2</v>
      </c>
      <c r="J21" s="56">
        <v>1050</v>
      </c>
      <c r="K21" s="56" t="s">
        <v>34</v>
      </c>
      <c r="L21" s="53" t="s">
        <v>35</v>
      </c>
      <c r="M21" s="56" t="s">
        <v>35</v>
      </c>
      <c r="N21" s="63">
        <v>470</v>
      </c>
      <c r="O21" s="56" t="s">
        <v>35</v>
      </c>
      <c r="P21" s="56" t="s">
        <v>37</v>
      </c>
      <c r="Q21" s="56" t="s">
        <v>41</v>
      </c>
      <c r="R21" s="56">
        <v>1.9</v>
      </c>
      <c r="S21" s="56" t="s">
        <v>39</v>
      </c>
      <c r="T21" s="56" t="s">
        <v>42</v>
      </c>
      <c r="U21" s="56">
        <v>663</v>
      </c>
      <c r="V21" s="56"/>
      <c r="W21" s="136">
        <v>228</v>
      </c>
      <c r="X21" s="53">
        <v>52.1</v>
      </c>
      <c r="Y21" s="53">
        <v>4.1399999999999997</v>
      </c>
      <c r="Z21" s="53">
        <v>250</v>
      </c>
      <c r="AA21" s="53">
        <v>4.2</v>
      </c>
      <c r="AB21" s="53">
        <v>389</v>
      </c>
      <c r="AC21" s="53">
        <v>51.4</v>
      </c>
    </row>
    <row r="22" spans="1:29">
      <c r="A22" s="11">
        <v>1</v>
      </c>
      <c r="B22" s="12" t="s">
        <v>64</v>
      </c>
      <c r="C22" s="13">
        <v>2</v>
      </c>
      <c r="D22" s="60">
        <v>45300</v>
      </c>
      <c r="E22" s="52">
        <v>6.08</v>
      </c>
      <c r="F22" s="56">
        <v>4260</v>
      </c>
      <c r="G22" s="84">
        <v>87</v>
      </c>
      <c r="H22" s="52" t="s">
        <v>33</v>
      </c>
      <c r="I22" s="86">
        <v>18.3</v>
      </c>
      <c r="J22" s="56">
        <v>1120</v>
      </c>
      <c r="K22" s="52" t="s">
        <v>34</v>
      </c>
      <c r="L22" s="52" t="s">
        <v>35</v>
      </c>
      <c r="M22" s="52" t="s">
        <v>35</v>
      </c>
      <c r="N22" s="63">
        <v>490</v>
      </c>
      <c r="O22" s="52" t="s">
        <v>35</v>
      </c>
      <c r="P22" s="52" t="s">
        <v>37</v>
      </c>
      <c r="Q22" s="52" t="s">
        <v>41</v>
      </c>
      <c r="R22" s="52">
        <v>2.1</v>
      </c>
      <c r="S22" s="52" t="s">
        <v>39</v>
      </c>
      <c r="T22" s="52" t="s">
        <v>42</v>
      </c>
      <c r="U22" s="52">
        <v>670</v>
      </c>
      <c r="V22" s="56"/>
      <c r="W22" s="136">
        <v>470</v>
      </c>
      <c r="X22" s="56">
        <v>56.6</v>
      </c>
      <c r="Y22" s="56">
        <v>4.3499999999999996</v>
      </c>
      <c r="Z22" s="56">
        <v>257</v>
      </c>
      <c r="AA22" s="56">
        <v>5.6</v>
      </c>
      <c r="AB22" s="56">
        <v>393</v>
      </c>
      <c r="AC22" s="56">
        <v>52.2</v>
      </c>
    </row>
    <row r="23" spans="1:29">
      <c r="A23" s="34">
        <v>1</v>
      </c>
      <c r="B23" s="12" t="s">
        <v>64</v>
      </c>
      <c r="C23" s="13">
        <v>2</v>
      </c>
      <c r="D23" s="60">
        <v>45264</v>
      </c>
      <c r="E23" s="52">
        <v>6.26</v>
      </c>
      <c r="F23" s="56">
        <v>4730</v>
      </c>
      <c r="G23" s="54">
        <v>71</v>
      </c>
      <c r="H23" s="55" t="s">
        <v>33</v>
      </c>
      <c r="I23" s="55">
        <v>16.899999999999999</v>
      </c>
      <c r="J23" s="56">
        <v>1030</v>
      </c>
      <c r="K23" s="56" t="s">
        <v>34</v>
      </c>
      <c r="L23" s="53" t="s">
        <v>35</v>
      </c>
      <c r="M23" s="56" t="s">
        <v>35</v>
      </c>
      <c r="N23" s="63">
        <v>470</v>
      </c>
      <c r="O23" s="56" t="s">
        <v>35</v>
      </c>
      <c r="P23" s="56" t="s">
        <v>37</v>
      </c>
      <c r="Q23" s="56" t="s">
        <v>41</v>
      </c>
      <c r="R23" s="56">
        <v>1.9</v>
      </c>
      <c r="S23" s="56" t="s">
        <v>39</v>
      </c>
      <c r="T23" s="56" t="s">
        <v>42</v>
      </c>
      <c r="U23" s="56">
        <v>716</v>
      </c>
      <c r="V23" s="56"/>
      <c r="W23" s="136">
        <v>223</v>
      </c>
      <c r="X23" s="53">
        <v>58</v>
      </c>
      <c r="Y23" s="53">
        <v>4.75</v>
      </c>
      <c r="Z23" s="53">
        <v>271</v>
      </c>
      <c r="AA23" s="53">
        <v>5.6</v>
      </c>
      <c r="AB23" s="53">
        <v>421</v>
      </c>
      <c r="AC23" s="53">
        <v>54.9</v>
      </c>
    </row>
    <row r="24" spans="1:29">
      <c r="A24" s="34">
        <v>1</v>
      </c>
      <c r="B24" s="12" t="s">
        <v>64</v>
      </c>
      <c r="C24" s="13">
        <v>2</v>
      </c>
      <c r="D24" s="60">
        <v>45244</v>
      </c>
      <c r="E24" s="52">
        <v>6.28</v>
      </c>
      <c r="F24" s="56">
        <v>2640</v>
      </c>
      <c r="G24" s="54">
        <v>70</v>
      </c>
      <c r="H24" s="55" t="s">
        <v>33</v>
      </c>
      <c r="I24" s="56">
        <v>18.100000000000001</v>
      </c>
      <c r="J24" s="56">
        <v>1100</v>
      </c>
      <c r="K24" s="56" t="s">
        <v>34</v>
      </c>
      <c r="L24" s="56" t="s">
        <v>35</v>
      </c>
      <c r="M24" s="56" t="s">
        <v>35</v>
      </c>
      <c r="N24" s="63">
        <v>470</v>
      </c>
      <c r="O24" s="56" t="s">
        <v>35</v>
      </c>
      <c r="P24" s="56" t="s">
        <v>37</v>
      </c>
      <c r="Q24" s="56" t="s">
        <v>41</v>
      </c>
      <c r="R24" s="56">
        <v>1.47</v>
      </c>
      <c r="S24" s="56">
        <v>0.01</v>
      </c>
      <c r="T24" s="56" t="s">
        <v>42</v>
      </c>
      <c r="U24" s="56">
        <v>659</v>
      </c>
      <c r="V24" s="56"/>
      <c r="W24" s="136">
        <v>252</v>
      </c>
      <c r="X24" s="56">
        <v>54</v>
      </c>
      <c r="Y24" s="56">
        <v>4.42</v>
      </c>
      <c r="Z24" s="56">
        <v>247</v>
      </c>
      <c r="AA24" s="56">
        <v>9.8000000000000007</v>
      </c>
      <c r="AB24" s="56">
        <v>388</v>
      </c>
      <c r="AC24" s="56">
        <v>50.2</v>
      </c>
    </row>
    <row r="25" spans="1:29">
      <c r="A25" s="34">
        <v>1</v>
      </c>
      <c r="B25" s="12" t="s">
        <v>64</v>
      </c>
      <c r="C25" s="13">
        <v>2</v>
      </c>
      <c r="D25" s="60">
        <v>45209</v>
      </c>
      <c r="E25" s="52">
        <v>6.32</v>
      </c>
      <c r="F25" s="56">
        <v>2930</v>
      </c>
      <c r="G25" s="54">
        <v>53</v>
      </c>
      <c r="H25" s="55" t="s">
        <v>33</v>
      </c>
      <c r="I25" s="56">
        <v>18.899999999999999</v>
      </c>
      <c r="J25" s="56">
        <v>1150</v>
      </c>
      <c r="K25" s="56" t="s">
        <v>34</v>
      </c>
      <c r="L25" s="56" t="s">
        <v>35</v>
      </c>
      <c r="M25" s="56" t="s">
        <v>35</v>
      </c>
      <c r="N25" s="63">
        <v>450</v>
      </c>
      <c r="O25" s="56" t="s">
        <v>35</v>
      </c>
      <c r="P25" s="56" t="s">
        <v>37</v>
      </c>
      <c r="Q25" s="56" t="s">
        <v>41</v>
      </c>
      <c r="R25" s="56">
        <v>2.8</v>
      </c>
      <c r="S25" s="56" t="s">
        <v>39</v>
      </c>
      <c r="T25" s="56" t="s">
        <v>42</v>
      </c>
      <c r="U25" s="56">
        <v>650</v>
      </c>
      <c r="V25" s="56"/>
      <c r="W25" s="136">
        <v>376</v>
      </c>
      <c r="X25" s="56">
        <v>52.6</v>
      </c>
      <c r="Y25" s="56">
        <v>4.2300000000000004</v>
      </c>
      <c r="Z25" s="56">
        <v>249</v>
      </c>
      <c r="AA25" s="56">
        <v>5.2</v>
      </c>
      <c r="AB25" s="56">
        <v>383</v>
      </c>
      <c r="AC25" s="56">
        <v>49.5</v>
      </c>
    </row>
    <row r="26" spans="1:29">
      <c r="A26" s="34">
        <v>1</v>
      </c>
      <c r="B26" s="12" t="s">
        <v>64</v>
      </c>
      <c r="C26" s="13">
        <v>2</v>
      </c>
      <c r="D26" s="60">
        <v>45181</v>
      </c>
      <c r="E26" s="52">
        <v>6.49</v>
      </c>
      <c r="F26" s="56">
        <v>3420</v>
      </c>
      <c r="G26" s="54">
        <v>36</v>
      </c>
      <c r="H26" s="55" t="s">
        <v>33</v>
      </c>
      <c r="I26" s="55">
        <v>21.5</v>
      </c>
      <c r="J26" s="56">
        <v>1310</v>
      </c>
      <c r="K26" s="56" t="s">
        <v>34</v>
      </c>
      <c r="L26" s="53" t="s">
        <v>35</v>
      </c>
      <c r="M26" s="56" t="s">
        <v>35</v>
      </c>
      <c r="N26" s="63">
        <v>430</v>
      </c>
      <c r="O26" s="56" t="s">
        <v>35</v>
      </c>
      <c r="P26" s="56" t="s">
        <v>37</v>
      </c>
      <c r="Q26" s="56" t="s">
        <v>41</v>
      </c>
      <c r="R26" s="56">
        <v>4.5</v>
      </c>
      <c r="S26" s="56" t="s">
        <v>39</v>
      </c>
      <c r="T26" s="56" t="s">
        <v>42</v>
      </c>
      <c r="U26" s="56">
        <v>670</v>
      </c>
      <c r="V26" s="87"/>
      <c r="W26" s="136">
        <v>478</v>
      </c>
      <c r="X26" s="53">
        <v>57.8</v>
      </c>
      <c r="Y26" s="53">
        <v>4.24</v>
      </c>
      <c r="Z26" s="53">
        <v>280</v>
      </c>
      <c r="AA26" s="53">
        <v>7.1</v>
      </c>
      <c r="AB26" s="53">
        <v>392</v>
      </c>
      <c r="AC26" s="53">
        <v>52.7</v>
      </c>
    </row>
    <row r="27" spans="1:29">
      <c r="A27" s="34">
        <v>1</v>
      </c>
      <c r="B27" s="12" t="s">
        <v>64</v>
      </c>
      <c r="C27" s="13">
        <v>2</v>
      </c>
      <c r="D27" s="60">
        <v>45160</v>
      </c>
      <c r="E27" s="52">
        <v>6.48</v>
      </c>
      <c r="F27" s="56">
        <v>2890</v>
      </c>
      <c r="G27" s="54">
        <v>30</v>
      </c>
      <c r="H27" s="55" t="s">
        <v>33</v>
      </c>
      <c r="I27" s="56">
        <v>20.7</v>
      </c>
      <c r="J27" s="56">
        <v>1260</v>
      </c>
      <c r="K27" s="56" t="s">
        <v>34</v>
      </c>
      <c r="L27" s="56" t="s">
        <v>35</v>
      </c>
      <c r="M27" s="56" t="s">
        <v>36</v>
      </c>
      <c r="N27" s="63">
        <v>392</v>
      </c>
      <c r="O27" s="56" t="s">
        <v>36</v>
      </c>
      <c r="P27" s="56" t="s">
        <v>48</v>
      </c>
      <c r="Q27" s="56" t="s">
        <v>38</v>
      </c>
      <c r="R27" s="56">
        <v>1.9</v>
      </c>
      <c r="S27" s="56" t="s">
        <v>39</v>
      </c>
      <c r="T27" s="56" t="s">
        <v>40</v>
      </c>
      <c r="U27" s="56">
        <v>650</v>
      </c>
      <c r="V27" s="56"/>
      <c r="W27" s="136">
        <v>541</v>
      </c>
      <c r="X27" s="56">
        <v>67.5</v>
      </c>
      <c r="Y27" s="56">
        <v>4.3099999999999996</v>
      </c>
      <c r="Z27" s="56">
        <v>288</v>
      </c>
      <c r="AA27" s="56">
        <v>7.5</v>
      </c>
      <c r="AB27" s="56">
        <v>379</v>
      </c>
      <c r="AC27" s="56">
        <v>51.9</v>
      </c>
    </row>
    <row r="28" spans="1:29">
      <c r="A28" s="34">
        <v>1</v>
      </c>
      <c r="B28" s="12" t="s">
        <v>64</v>
      </c>
      <c r="C28" s="13">
        <v>2</v>
      </c>
      <c r="D28" s="60">
        <v>45118</v>
      </c>
      <c r="E28" s="52">
        <v>6.39</v>
      </c>
      <c r="F28" s="56">
        <v>2870</v>
      </c>
      <c r="G28" s="54">
        <v>35</v>
      </c>
      <c r="H28" s="55" t="s">
        <v>33</v>
      </c>
      <c r="I28" s="56">
        <v>20.6</v>
      </c>
      <c r="J28" s="56">
        <v>1260</v>
      </c>
      <c r="K28" s="56" t="s">
        <v>34</v>
      </c>
      <c r="L28" s="56" t="s">
        <v>35</v>
      </c>
      <c r="M28" s="56" t="s">
        <v>36</v>
      </c>
      <c r="N28" s="63">
        <v>418</v>
      </c>
      <c r="O28" s="56" t="s">
        <v>36</v>
      </c>
      <c r="P28" s="56" t="s">
        <v>37</v>
      </c>
      <c r="Q28" s="56" t="s">
        <v>38</v>
      </c>
      <c r="R28" s="56">
        <v>4.3</v>
      </c>
      <c r="S28" s="56" t="s">
        <v>39</v>
      </c>
      <c r="T28" s="56" t="s">
        <v>40</v>
      </c>
      <c r="U28" s="56">
        <v>647</v>
      </c>
      <c r="V28" s="56"/>
      <c r="W28" s="136">
        <v>591</v>
      </c>
      <c r="X28" s="56">
        <v>70.400000000000006</v>
      </c>
      <c r="Y28" s="56">
        <v>4.32</v>
      </c>
      <c r="Z28" s="56">
        <v>277</v>
      </c>
      <c r="AA28" s="56">
        <v>8.4</v>
      </c>
      <c r="AB28" s="56">
        <v>378</v>
      </c>
      <c r="AC28" s="56">
        <v>51.4</v>
      </c>
    </row>
    <row r="29" spans="1:29">
      <c r="A29" s="34">
        <v>1</v>
      </c>
      <c r="B29" s="12" t="s">
        <v>64</v>
      </c>
      <c r="C29" s="13">
        <v>2</v>
      </c>
      <c r="D29" s="60">
        <v>45097</v>
      </c>
      <c r="E29" s="52">
        <v>6.45</v>
      </c>
      <c r="F29" s="56">
        <v>2980</v>
      </c>
      <c r="G29" s="54">
        <v>37</v>
      </c>
      <c r="H29" s="55" t="s">
        <v>33</v>
      </c>
      <c r="I29" s="56">
        <v>21.4</v>
      </c>
      <c r="J29" s="56">
        <v>1310</v>
      </c>
      <c r="K29" s="56" t="s">
        <v>34</v>
      </c>
      <c r="L29" s="56" t="s">
        <v>35</v>
      </c>
      <c r="M29" s="56" t="s">
        <v>35</v>
      </c>
      <c r="N29" s="63">
        <v>390</v>
      </c>
      <c r="O29" s="56" t="s">
        <v>35</v>
      </c>
      <c r="P29" s="56" t="s">
        <v>37</v>
      </c>
      <c r="Q29" s="56" t="s">
        <v>41</v>
      </c>
      <c r="R29" s="56">
        <v>7.4</v>
      </c>
      <c r="S29" s="56" t="s">
        <v>39</v>
      </c>
      <c r="T29" s="56" t="s">
        <v>42</v>
      </c>
      <c r="U29" s="56">
        <v>644</v>
      </c>
      <c r="V29" s="56"/>
      <c r="W29" s="136">
        <v>290</v>
      </c>
      <c r="X29" s="56">
        <v>73.099999999999994</v>
      </c>
      <c r="Y29" s="56">
        <v>4.3099999999999996</v>
      </c>
      <c r="Z29" s="56">
        <v>287</v>
      </c>
      <c r="AA29" s="56">
        <v>5.2</v>
      </c>
      <c r="AB29" s="56">
        <v>375</v>
      </c>
      <c r="AC29" s="56">
        <v>51.8</v>
      </c>
    </row>
    <row r="30" spans="1:29">
      <c r="A30" s="34">
        <v>1</v>
      </c>
      <c r="B30" s="12" t="s">
        <v>64</v>
      </c>
      <c r="C30" s="13">
        <v>2</v>
      </c>
      <c r="D30" s="60">
        <v>45062</v>
      </c>
      <c r="E30" s="52">
        <v>6.66</v>
      </c>
      <c r="F30" s="56">
        <v>2840</v>
      </c>
      <c r="G30" s="54">
        <v>38</v>
      </c>
      <c r="H30" s="55" t="s">
        <v>33</v>
      </c>
      <c r="I30" s="56">
        <v>22.3</v>
      </c>
      <c r="J30" s="56">
        <v>1360</v>
      </c>
      <c r="K30" s="53" t="s">
        <v>34</v>
      </c>
      <c r="L30" s="56" t="s">
        <v>35</v>
      </c>
      <c r="M30" s="56" t="s">
        <v>35</v>
      </c>
      <c r="N30" s="63">
        <v>390</v>
      </c>
      <c r="O30" s="56" t="s">
        <v>35</v>
      </c>
      <c r="P30" s="56" t="s">
        <v>37</v>
      </c>
      <c r="Q30" s="56" t="s">
        <v>41</v>
      </c>
      <c r="R30" s="56">
        <v>5</v>
      </c>
      <c r="S30" s="56" t="s">
        <v>39</v>
      </c>
      <c r="T30" s="56" t="s">
        <v>42</v>
      </c>
      <c r="U30" s="56">
        <v>667</v>
      </c>
      <c r="V30" s="87"/>
      <c r="W30" s="65">
        <v>280</v>
      </c>
      <c r="X30" s="53">
        <v>70.8</v>
      </c>
      <c r="Y30" s="53">
        <v>4.5599999999999996</v>
      </c>
      <c r="Z30" s="53">
        <v>272</v>
      </c>
      <c r="AA30" s="53">
        <v>4.5999999999999996</v>
      </c>
      <c r="AB30" s="53">
        <v>392</v>
      </c>
      <c r="AC30" s="53">
        <v>51.5</v>
      </c>
    </row>
    <row r="31" spans="1:29">
      <c r="A31" s="34">
        <v>1</v>
      </c>
      <c r="B31" s="12" t="s">
        <v>64</v>
      </c>
      <c r="C31" s="13">
        <v>2</v>
      </c>
      <c r="D31" s="60">
        <v>45006</v>
      </c>
      <c r="E31" s="52">
        <v>5.05</v>
      </c>
      <c r="F31" s="56">
        <v>3530</v>
      </c>
      <c r="G31" s="54">
        <v>1450</v>
      </c>
      <c r="H31" s="55" t="s">
        <v>33</v>
      </c>
      <c r="I31" s="56">
        <v>14.7</v>
      </c>
      <c r="J31" s="56">
        <v>897</v>
      </c>
      <c r="K31" s="56" t="s">
        <v>34</v>
      </c>
      <c r="L31" s="56" t="s">
        <v>35</v>
      </c>
      <c r="M31" s="56" t="s">
        <v>35</v>
      </c>
      <c r="N31" s="63">
        <v>470</v>
      </c>
      <c r="O31" s="56" t="s">
        <v>35</v>
      </c>
      <c r="P31" s="56">
        <v>7</v>
      </c>
      <c r="Q31" s="56" t="s">
        <v>41</v>
      </c>
      <c r="R31" s="56" t="s">
        <v>46</v>
      </c>
      <c r="S31" s="56" t="s">
        <v>39</v>
      </c>
      <c r="T31" s="56" t="s">
        <v>42</v>
      </c>
      <c r="U31" s="56">
        <v>848</v>
      </c>
      <c r="V31" s="56"/>
      <c r="W31" s="136">
        <v>928</v>
      </c>
      <c r="X31" s="56">
        <v>182</v>
      </c>
      <c r="Y31" s="56">
        <v>5.88</v>
      </c>
      <c r="Z31" s="56">
        <v>289</v>
      </c>
      <c r="AA31" s="56">
        <v>14.9</v>
      </c>
      <c r="AB31" s="56">
        <v>492</v>
      </c>
      <c r="AC31" s="56">
        <v>69.2</v>
      </c>
    </row>
    <row r="32" spans="1:29">
      <c r="A32" s="34">
        <v>1</v>
      </c>
      <c r="B32" s="12" t="s">
        <v>64</v>
      </c>
      <c r="C32" s="13">
        <v>2</v>
      </c>
      <c r="D32" s="60">
        <v>44978</v>
      </c>
      <c r="E32" s="52">
        <v>6.43</v>
      </c>
      <c r="F32" s="56">
        <v>2770</v>
      </c>
      <c r="G32" s="54">
        <v>46</v>
      </c>
      <c r="H32" s="55" t="s">
        <v>33</v>
      </c>
      <c r="I32" s="56">
        <v>23.1</v>
      </c>
      <c r="J32" s="56">
        <v>1410</v>
      </c>
      <c r="K32" s="56" t="s">
        <v>34</v>
      </c>
      <c r="L32" s="56" t="s">
        <v>35</v>
      </c>
      <c r="M32" s="56" t="s">
        <v>35</v>
      </c>
      <c r="N32" s="63">
        <v>350</v>
      </c>
      <c r="O32" s="56" t="s">
        <v>35</v>
      </c>
      <c r="P32" s="56" t="s">
        <v>37</v>
      </c>
      <c r="Q32" s="56" t="s">
        <v>41</v>
      </c>
      <c r="R32" s="56">
        <v>2.2000000000000002</v>
      </c>
      <c r="S32" s="56" t="s">
        <v>39</v>
      </c>
      <c r="T32" s="56" t="s">
        <v>42</v>
      </c>
      <c r="U32" s="56">
        <v>710</v>
      </c>
      <c r="V32" s="56"/>
      <c r="W32" s="136">
        <v>299</v>
      </c>
      <c r="X32" s="56">
        <v>72.2</v>
      </c>
      <c r="Y32" s="56">
        <v>4.42</v>
      </c>
      <c r="Z32" s="56">
        <v>289</v>
      </c>
      <c r="AA32" s="56">
        <v>4.5</v>
      </c>
      <c r="AB32" s="56">
        <v>418</v>
      </c>
      <c r="AC32" s="56">
        <v>54.1</v>
      </c>
    </row>
    <row r="33" spans="1:29">
      <c r="A33" s="34">
        <v>1</v>
      </c>
      <c r="B33" s="12" t="s">
        <v>64</v>
      </c>
      <c r="C33" s="13">
        <v>2</v>
      </c>
      <c r="D33" s="60">
        <v>44950</v>
      </c>
      <c r="E33" s="52">
        <v>6.45</v>
      </c>
      <c r="F33" s="56">
        <v>3080</v>
      </c>
      <c r="G33" s="54">
        <v>50</v>
      </c>
      <c r="H33" s="55" t="s">
        <v>33</v>
      </c>
      <c r="I33" s="56">
        <v>22.4</v>
      </c>
      <c r="J33" s="56">
        <v>1370</v>
      </c>
      <c r="K33" s="56" t="s">
        <v>34</v>
      </c>
      <c r="L33" s="56" t="s">
        <v>35</v>
      </c>
      <c r="M33" s="56" t="s">
        <v>35</v>
      </c>
      <c r="N33" s="63">
        <v>390</v>
      </c>
      <c r="O33" s="56" t="s">
        <v>35</v>
      </c>
      <c r="P33" s="56" t="s">
        <v>37</v>
      </c>
      <c r="Q33" s="56" t="s">
        <v>41</v>
      </c>
      <c r="R33" s="56">
        <v>0.3</v>
      </c>
      <c r="S33" s="56" t="s">
        <v>39</v>
      </c>
      <c r="T33" s="56" t="s">
        <v>42</v>
      </c>
      <c r="U33" s="56">
        <v>690</v>
      </c>
      <c r="V33" s="56"/>
      <c r="W33" s="136">
        <v>283</v>
      </c>
      <c r="X33" s="56">
        <v>0.16</v>
      </c>
      <c r="Y33" s="56">
        <v>4.42</v>
      </c>
      <c r="Z33" s="56">
        <v>290</v>
      </c>
      <c r="AA33" s="56">
        <v>3.9</v>
      </c>
      <c r="AB33" s="56">
        <v>406</v>
      </c>
      <c r="AC33" s="56">
        <v>52.9</v>
      </c>
    </row>
    <row r="34" spans="1:29">
      <c r="A34" s="34">
        <v>1</v>
      </c>
      <c r="B34" s="12" t="s">
        <v>64</v>
      </c>
      <c r="C34" s="13">
        <v>2</v>
      </c>
      <c r="D34" s="60">
        <v>44909</v>
      </c>
      <c r="E34" s="52">
        <v>6.51</v>
      </c>
      <c r="F34" s="56">
        <v>3030</v>
      </c>
      <c r="G34" s="54">
        <v>24</v>
      </c>
      <c r="H34" s="55" t="s">
        <v>33</v>
      </c>
      <c r="I34" s="56">
        <v>25.5</v>
      </c>
      <c r="J34" s="56">
        <v>1560</v>
      </c>
      <c r="K34" s="56" t="s">
        <v>34</v>
      </c>
      <c r="L34" s="56" t="s">
        <v>35</v>
      </c>
      <c r="M34" s="56" t="s">
        <v>35</v>
      </c>
      <c r="N34" s="63">
        <v>340</v>
      </c>
      <c r="O34" s="56" t="s">
        <v>35</v>
      </c>
      <c r="P34" s="56" t="s">
        <v>37</v>
      </c>
      <c r="Q34" s="56" t="s">
        <v>41</v>
      </c>
      <c r="R34" s="56" t="s">
        <v>46</v>
      </c>
      <c r="S34" s="56" t="s">
        <v>39</v>
      </c>
      <c r="T34" s="56" t="s">
        <v>42</v>
      </c>
      <c r="U34" s="56">
        <v>790</v>
      </c>
      <c r="V34" s="56"/>
      <c r="W34" s="136">
        <v>342</v>
      </c>
      <c r="X34" s="56">
        <v>68.099999999999994</v>
      </c>
      <c r="Y34" s="56">
        <v>5.03</v>
      </c>
      <c r="Z34" s="56">
        <v>287</v>
      </c>
      <c r="AA34" s="56">
        <v>3.9</v>
      </c>
      <c r="AB34" s="56">
        <v>469</v>
      </c>
      <c r="AC34" s="56">
        <v>58.1</v>
      </c>
    </row>
    <row r="35" spans="1:29">
      <c r="A35" s="34">
        <v>1</v>
      </c>
      <c r="B35" s="12" t="s">
        <v>64</v>
      </c>
      <c r="C35" s="13">
        <v>2</v>
      </c>
      <c r="D35" s="60">
        <v>44880</v>
      </c>
      <c r="E35" s="52">
        <v>6.69</v>
      </c>
      <c r="F35" s="56">
        <v>3130</v>
      </c>
      <c r="G35" s="54">
        <v>54</v>
      </c>
      <c r="H35" s="55" t="s">
        <v>33</v>
      </c>
      <c r="I35" s="56">
        <v>25.3</v>
      </c>
      <c r="J35" s="56">
        <v>1540</v>
      </c>
      <c r="K35" s="56" t="s">
        <v>34</v>
      </c>
      <c r="L35" s="56" t="s">
        <v>35</v>
      </c>
      <c r="M35" s="56" t="s">
        <v>35</v>
      </c>
      <c r="N35" s="63">
        <v>360</v>
      </c>
      <c r="O35" s="56" t="s">
        <v>35</v>
      </c>
      <c r="P35" s="56" t="s">
        <v>37</v>
      </c>
      <c r="Q35" s="56" t="s">
        <v>41</v>
      </c>
      <c r="R35" s="56">
        <v>15.3</v>
      </c>
      <c r="S35" s="56" t="s">
        <v>39</v>
      </c>
      <c r="T35" s="56" t="s">
        <v>42</v>
      </c>
      <c r="U35" s="56">
        <v>755</v>
      </c>
      <c r="V35" s="56"/>
      <c r="W35" s="136">
        <v>682</v>
      </c>
      <c r="X35" s="56">
        <v>63.3</v>
      </c>
      <c r="Y35" s="56">
        <v>3.22</v>
      </c>
      <c r="Z35" s="56">
        <v>345</v>
      </c>
      <c r="AA35" s="56">
        <v>11.5</v>
      </c>
      <c r="AB35" s="56">
        <v>390</v>
      </c>
      <c r="AC35" s="56">
        <v>90.9</v>
      </c>
    </row>
    <row r="36" spans="1:29">
      <c r="A36" s="34">
        <v>1</v>
      </c>
      <c r="B36" s="12" t="s">
        <v>64</v>
      </c>
      <c r="C36" s="13">
        <v>2</v>
      </c>
      <c r="D36" s="60">
        <v>44852</v>
      </c>
      <c r="E36" s="52">
        <v>6.79</v>
      </c>
      <c r="F36" s="56">
        <v>3170</v>
      </c>
      <c r="G36" s="54">
        <v>30</v>
      </c>
      <c r="H36" s="55" t="s">
        <v>33</v>
      </c>
      <c r="I36" s="56">
        <v>26.1</v>
      </c>
      <c r="J36" s="56">
        <v>1590</v>
      </c>
      <c r="K36" s="56" t="s">
        <v>34</v>
      </c>
      <c r="L36" s="56" t="s">
        <v>35</v>
      </c>
      <c r="M36" s="56" t="s">
        <v>35</v>
      </c>
      <c r="N36" s="63">
        <v>240</v>
      </c>
      <c r="O36" s="56">
        <v>3</v>
      </c>
      <c r="P36" s="56" t="s">
        <v>37</v>
      </c>
      <c r="Q36" s="56" t="s">
        <v>41</v>
      </c>
      <c r="R36" s="56">
        <v>18.8</v>
      </c>
      <c r="S36" s="56" t="s">
        <v>39</v>
      </c>
      <c r="T36" s="56" t="s">
        <v>42</v>
      </c>
      <c r="U36" s="56">
        <v>694</v>
      </c>
      <c r="V36" s="56"/>
      <c r="W36" s="136">
        <v>544</v>
      </c>
      <c r="X36" s="56">
        <v>51.2</v>
      </c>
      <c r="Y36" s="56">
        <v>3.16</v>
      </c>
      <c r="Z36" s="56">
        <v>342</v>
      </c>
      <c r="AA36" s="56">
        <v>12.8</v>
      </c>
      <c r="AB36" s="56">
        <v>357</v>
      </c>
      <c r="AC36" s="56">
        <v>84.1</v>
      </c>
    </row>
    <row r="37" spans="1:29">
      <c r="A37" s="34">
        <v>1</v>
      </c>
      <c r="B37" s="12" t="s">
        <v>64</v>
      </c>
      <c r="C37" s="13">
        <v>2</v>
      </c>
      <c r="D37" s="60">
        <v>44796</v>
      </c>
      <c r="E37" s="52">
        <v>6.59</v>
      </c>
      <c r="F37" s="56">
        <v>3360</v>
      </c>
      <c r="G37" s="54">
        <v>47</v>
      </c>
      <c r="H37" s="55" t="s">
        <v>33</v>
      </c>
      <c r="I37" s="56">
        <v>27.9</v>
      </c>
      <c r="J37" s="56">
        <v>1700</v>
      </c>
      <c r="K37" s="56" t="s">
        <v>34</v>
      </c>
      <c r="L37" s="56" t="s">
        <v>35</v>
      </c>
      <c r="M37" s="56" t="s">
        <v>35</v>
      </c>
      <c r="N37" s="63">
        <v>220</v>
      </c>
      <c r="O37" s="56">
        <v>3</v>
      </c>
      <c r="P37" s="56" t="s">
        <v>37</v>
      </c>
      <c r="Q37" s="56" t="s">
        <v>41</v>
      </c>
      <c r="R37" s="56">
        <v>24.3</v>
      </c>
      <c r="S37" s="56" t="s">
        <v>39</v>
      </c>
      <c r="T37" s="56" t="s">
        <v>42</v>
      </c>
      <c r="U37" s="56">
        <v>730</v>
      </c>
      <c r="V37" s="56"/>
      <c r="W37" s="136">
        <v>713</v>
      </c>
      <c r="X37" s="56">
        <v>79.099999999999994</v>
      </c>
      <c r="Y37" s="56">
        <v>3.67</v>
      </c>
      <c r="Z37" s="56">
        <v>330</v>
      </c>
      <c r="AA37" s="56">
        <v>18.3</v>
      </c>
      <c r="AB37" s="56">
        <v>375</v>
      </c>
      <c r="AC37" s="56">
        <v>89.1</v>
      </c>
    </row>
    <row r="38" spans="1:29">
      <c r="A38" s="34">
        <v>1</v>
      </c>
      <c r="B38" s="12" t="s">
        <v>64</v>
      </c>
      <c r="C38" s="13">
        <v>2</v>
      </c>
      <c r="D38" s="60">
        <v>44747</v>
      </c>
      <c r="E38" s="52">
        <v>5.87</v>
      </c>
      <c r="F38" s="56">
        <v>4070</v>
      </c>
      <c r="G38" s="54">
        <v>78</v>
      </c>
      <c r="H38" s="55" t="s">
        <v>33</v>
      </c>
      <c r="I38" s="56">
        <v>23.3</v>
      </c>
      <c r="J38" s="56">
        <v>1420</v>
      </c>
      <c r="K38" s="56" t="s">
        <v>34</v>
      </c>
      <c r="L38" s="56" t="s">
        <v>35</v>
      </c>
      <c r="M38" s="56" t="s">
        <v>35</v>
      </c>
      <c r="N38" s="63">
        <v>140</v>
      </c>
      <c r="O38" s="56" t="s">
        <v>35</v>
      </c>
      <c r="P38" s="56">
        <v>0.86</v>
      </c>
      <c r="Q38" s="56" t="s">
        <v>41</v>
      </c>
      <c r="R38" s="56">
        <v>24.2</v>
      </c>
      <c r="S38" s="56" t="s">
        <v>39</v>
      </c>
      <c r="T38" s="56" t="s">
        <v>42</v>
      </c>
      <c r="U38" s="56">
        <v>915</v>
      </c>
      <c r="V38" s="56"/>
      <c r="W38" s="136">
        <v>923</v>
      </c>
      <c r="X38" s="56">
        <v>130</v>
      </c>
      <c r="Y38" s="56">
        <v>5.13</v>
      </c>
      <c r="Z38" s="56">
        <v>334</v>
      </c>
      <c r="AA38" s="56">
        <v>24.8</v>
      </c>
      <c r="AB38" s="56">
        <v>479</v>
      </c>
      <c r="AC38" s="56">
        <v>106</v>
      </c>
    </row>
    <row r="39" spans="1:29">
      <c r="A39" s="34">
        <v>1</v>
      </c>
      <c r="B39" s="12" t="s">
        <v>64</v>
      </c>
      <c r="C39" s="13">
        <v>2</v>
      </c>
      <c r="D39" s="60">
        <v>44720</v>
      </c>
      <c r="E39" s="52">
        <v>5.33</v>
      </c>
      <c r="F39" s="56">
        <v>3320</v>
      </c>
      <c r="G39" s="54">
        <v>400</v>
      </c>
      <c r="H39" s="55" t="s">
        <v>33</v>
      </c>
      <c r="I39" s="56">
        <v>23.6</v>
      </c>
      <c r="J39" s="56">
        <v>1440</v>
      </c>
      <c r="K39" s="56" t="s">
        <v>34</v>
      </c>
      <c r="L39" s="56" t="s">
        <v>35</v>
      </c>
      <c r="M39" s="56" t="s">
        <v>35</v>
      </c>
      <c r="N39" s="63">
        <v>120</v>
      </c>
      <c r="O39" s="56">
        <v>3</v>
      </c>
      <c r="P39" s="56">
        <v>1.99</v>
      </c>
      <c r="Q39" s="56" t="s">
        <v>41</v>
      </c>
      <c r="R39" s="56">
        <v>8.6</v>
      </c>
      <c r="S39" s="56" t="s">
        <v>39</v>
      </c>
      <c r="T39" s="56" t="s">
        <v>42</v>
      </c>
      <c r="U39" s="56">
        <v>977</v>
      </c>
      <c r="V39" s="56"/>
      <c r="W39" s="136">
        <v>500</v>
      </c>
      <c r="X39" s="56">
        <v>186</v>
      </c>
      <c r="Y39" s="56">
        <v>6.3</v>
      </c>
      <c r="Z39" s="56">
        <v>338</v>
      </c>
      <c r="AA39" s="56">
        <v>31.3</v>
      </c>
      <c r="AB39" s="56">
        <v>500</v>
      </c>
      <c r="AC39" s="56">
        <v>120</v>
      </c>
    </row>
    <row r="40" spans="1:29">
      <c r="A40" s="34">
        <v>1</v>
      </c>
      <c r="B40" s="12" t="s">
        <v>64</v>
      </c>
      <c r="C40" s="13">
        <v>2</v>
      </c>
      <c r="D40" s="60">
        <v>44704</v>
      </c>
      <c r="E40" s="52">
        <v>4.88</v>
      </c>
      <c r="F40" s="56">
        <v>3910</v>
      </c>
      <c r="G40" s="54">
        <v>690</v>
      </c>
      <c r="H40" s="55" t="s">
        <v>33</v>
      </c>
      <c r="I40" s="56">
        <v>19</v>
      </c>
      <c r="J40" s="56">
        <v>1160</v>
      </c>
      <c r="K40" s="56" t="s">
        <v>34</v>
      </c>
      <c r="L40" s="56" t="s">
        <v>35</v>
      </c>
      <c r="M40" s="56" t="s">
        <v>35</v>
      </c>
      <c r="N40" s="63">
        <v>130</v>
      </c>
      <c r="O40" s="56">
        <v>6</v>
      </c>
      <c r="P40" s="56">
        <v>0.7</v>
      </c>
      <c r="Q40" s="56" t="s">
        <v>41</v>
      </c>
      <c r="R40" s="56" t="s">
        <v>54</v>
      </c>
      <c r="S40" s="56">
        <v>0.01</v>
      </c>
      <c r="T40" s="56" t="s">
        <v>42</v>
      </c>
      <c r="U40" s="56">
        <v>1070</v>
      </c>
      <c r="V40" s="56"/>
      <c r="W40" s="136">
        <v>258</v>
      </c>
      <c r="X40" s="56">
        <v>225</v>
      </c>
      <c r="Y40" s="56">
        <v>72.8</v>
      </c>
      <c r="Z40" s="56">
        <v>337</v>
      </c>
      <c r="AA40" s="56">
        <v>40.5</v>
      </c>
      <c r="AB40" s="56">
        <v>551</v>
      </c>
      <c r="AC40" s="56">
        <v>130</v>
      </c>
    </row>
    <row r="41" spans="1:29">
      <c r="A41" s="34">
        <v>1</v>
      </c>
      <c r="B41" s="12" t="s">
        <v>64</v>
      </c>
      <c r="C41" s="13">
        <v>2</v>
      </c>
      <c r="D41" s="60">
        <v>44676</v>
      </c>
      <c r="E41" s="52">
        <v>4.8899999999999997</v>
      </c>
      <c r="F41" s="56">
        <v>3900</v>
      </c>
      <c r="G41" s="54">
        <v>5000</v>
      </c>
      <c r="H41" s="55" t="s">
        <v>33</v>
      </c>
      <c r="I41" s="56">
        <v>16.7</v>
      </c>
      <c r="J41" s="56">
        <v>1020</v>
      </c>
      <c r="K41" s="56" t="s">
        <v>34</v>
      </c>
      <c r="L41" s="56" t="s">
        <v>35</v>
      </c>
      <c r="M41" s="56" t="s">
        <v>53</v>
      </c>
      <c r="N41" s="63">
        <v>100</v>
      </c>
      <c r="O41" s="56" t="s">
        <v>53</v>
      </c>
      <c r="P41" s="56">
        <v>5.4</v>
      </c>
      <c r="Q41" s="56" t="s">
        <v>65</v>
      </c>
      <c r="R41" s="56" t="s">
        <v>54</v>
      </c>
      <c r="S41" s="56" t="s">
        <v>66</v>
      </c>
      <c r="T41" s="56" t="s">
        <v>41</v>
      </c>
      <c r="U41" s="56">
        <v>1140</v>
      </c>
      <c r="V41" s="56"/>
      <c r="W41" s="136">
        <v>257</v>
      </c>
      <c r="X41" s="56">
        <v>257</v>
      </c>
      <c r="Y41" s="56">
        <v>7.76</v>
      </c>
      <c r="Z41" s="56">
        <v>365</v>
      </c>
      <c r="AA41" s="56">
        <v>54.7</v>
      </c>
      <c r="AB41" s="56">
        <v>582</v>
      </c>
      <c r="AC41" s="56">
        <v>142</v>
      </c>
    </row>
    <row r="42" spans="1:29">
      <c r="A42" s="34">
        <v>1</v>
      </c>
      <c r="B42" s="12" t="s">
        <v>64</v>
      </c>
      <c r="C42" s="13">
        <v>2</v>
      </c>
      <c r="D42" s="60">
        <v>44641</v>
      </c>
      <c r="E42" s="52">
        <v>4.95</v>
      </c>
      <c r="F42" s="56">
        <v>3390</v>
      </c>
      <c r="G42" s="54">
        <v>4800</v>
      </c>
      <c r="H42" s="55" t="s">
        <v>33</v>
      </c>
      <c r="I42" s="56">
        <v>17</v>
      </c>
      <c r="J42" s="56">
        <v>1040</v>
      </c>
      <c r="K42" s="56" t="s">
        <v>34</v>
      </c>
      <c r="L42" s="56" t="s">
        <v>35</v>
      </c>
      <c r="M42" s="56" t="s">
        <v>35</v>
      </c>
      <c r="N42" s="63">
        <v>90</v>
      </c>
      <c r="O42" s="56" t="s">
        <v>35</v>
      </c>
      <c r="P42" s="56">
        <v>8</v>
      </c>
      <c r="Q42" s="56" t="s">
        <v>41</v>
      </c>
      <c r="R42" s="56" t="s">
        <v>54</v>
      </c>
      <c r="S42" s="56" t="s">
        <v>39</v>
      </c>
      <c r="T42" s="56" t="s">
        <v>42</v>
      </c>
      <c r="U42" s="56">
        <v>982</v>
      </c>
      <c r="V42" s="56"/>
      <c r="W42" s="136">
        <v>515</v>
      </c>
      <c r="X42" s="56">
        <v>211</v>
      </c>
      <c r="Y42" s="56">
        <v>6.46</v>
      </c>
      <c r="Z42" s="56">
        <v>375</v>
      </c>
      <c r="AA42" s="56">
        <v>33.799999999999997</v>
      </c>
      <c r="AB42" s="56">
        <v>504</v>
      </c>
      <c r="AC42" s="56">
        <v>120</v>
      </c>
    </row>
    <row r="43" spans="1:29">
      <c r="A43" s="34">
        <v>1</v>
      </c>
      <c r="B43" s="12" t="s">
        <v>64</v>
      </c>
      <c r="C43" s="13">
        <v>2</v>
      </c>
      <c r="D43" s="60">
        <v>44613</v>
      </c>
      <c r="E43" s="52">
        <v>7.2</v>
      </c>
      <c r="F43" s="56">
        <v>3470</v>
      </c>
      <c r="G43" s="54">
        <v>41</v>
      </c>
      <c r="H43" s="55" t="s">
        <v>33</v>
      </c>
      <c r="I43" s="56">
        <v>36.4</v>
      </c>
      <c r="J43" s="56">
        <v>2220</v>
      </c>
      <c r="K43" s="56" t="s">
        <v>34</v>
      </c>
      <c r="L43" s="56" t="s">
        <v>35</v>
      </c>
      <c r="M43" s="56" t="s">
        <v>35</v>
      </c>
      <c r="N43" s="63">
        <v>80</v>
      </c>
      <c r="O43" s="56">
        <v>2</v>
      </c>
      <c r="P43" s="56" t="s">
        <v>37</v>
      </c>
      <c r="Q43" s="56" t="s">
        <v>41</v>
      </c>
      <c r="R43" s="56">
        <v>21</v>
      </c>
      <c r="S43" s="56" t="s">
        <v>39</v>
      </c>
      <c r="T43" s="56" t="s">
        <v>42</v>
      </c>
      <c r="U43" s="56">
        <v>753</v>
      </c>
      <c r="V43" s="56"/>
      <c r="W43" s="136">
        <v>1</v>
      </c>
      <c r="X43" s="56">
        <v>38.4</v>
      </c>
      <c r="Y43" s="56">
        <v>4.13</v>
      </c>
      <c r="Z43" s="56">
        <v>376</v>
      </c>
      <c r="AA43" s="56">
        <v>15.8</v>
      </c>
      <c r="AB43" s="56">
        <v>397</v>
      </c>
      <c r="AC43" s="56">
        <v>85.8</v>
      </c>
    </row>
    <row r="44" spans="1:29">
      <c r="A44" s="34">
        <v>1</v>
      </c>
      <c r="B44" s="12" t="s">
        <v>64</v>
      </c>
      <c r="C44" s="13">
        <v>2</v>
      </c>
      <c r="D44" s="60">
        <v>44586</v>
      </c>
      <c r="E44" s="52">
        <v>7.05</v>
      </c>
      <c r="F44" s="56">
        <v>3120</v>
      </c>
      <c r="G44" s="54">
        <v>52</v>
      </c>
      <c r="H44" s="55" t="s">
        <v>33</v>
      </c>
      <c r="I44" s="56">
        <v>37.299999999999997</v>
      </c>
      <c r="J44" s="56">
        <v>2280</v>
      </c>
      <c r="K44" s="56" t="s">
        <v>34</v>
      </c>
      <c r="L44" s="56" t="s">
        <v>35</v>
      </c>
      <c r="M44" s="56" t="s">
        <v>35</v>
      </c>
      <c r="N44" s="63">
        <v>70</v>
      </c>
      <c r="O44" s="56" t="s">
        <v>35</v>
      </c>
      <c r="P44" s="56" t="s">
        <v>37</v>
      </c>
      <c r="Q44" s="56" t="s">
        <v>41</v>
      </c>
      <c r="R44" s="56">
        <v>15.9</v>
      </c>
      <c r="S44" s="56" t="s">
        <v>39</v>
      </c>
      <c r="T44" s="56" t="s">
        <v>42</v>
      </c>
      <c r="U44" s="56">
        <v>776</v>
      </c>
      <c r="V44" s="56"/>
      <c r="W44" s="136" t="s">
        <v>33</v>
      </c>
      <c r="X44" s="56">
        <v>38.5</v>
      </c>
      <c r="Y44" s="56">
        <v>4.59</v>
      </c>
      <c r="Z44" s="56">
        <v>386</v>
      </c>
      <c r="AA44" s="56">
        <v>16.899999999999999</v>
      </c>
      <c r="AB44" s="56">
        <v>408</v>
      </c>
      <c r="AC44" s="56">
        <v>88.7</v>
      </c>
    </row>
    <row r="45" spans="1:29">
      <c r="A45" s="34">
        <v>1</v>
      </c>
      <c r="B45" s="12" t="s">
        <v>64</v>
      </c>
      <c r="C45" s="13">
        <v>2</v>
      </c>
      <c r="D45" s="60">
        <v>44543</v>
      </c>
      <c r="E45" s="52">
        <v>6.72</v>
      </c>
      <c r="F45" s="56">
        <v>3370</v>
      </c>
      <c r="G45" s="54">
        <v>67</v>
      </c>
      <c r="H45" s="55" t="s">
        <v>33</v>
      </c>
      <c r="I45" s="56">
        <v>41.3</v>
      </c>
      <c r="J45" s="56">
        <v>2520</v>
      </c>
      <c r="K45" s="56" t="s">
        <v>34</v>
      </c>
      <c r="L45" s="56" t="s">
        <v>35</v>
      </c>
      <c r="M45" s="56" t="s">
        <v>35</v>
      </c>
      <c r="N45" s="63">
        <v>70</v>
      </c>
      <c r="O45" s="56">
        <v>2</v>
      </c>
      <c r="P45" s="56" t="s">
        <v>37</v>
      </c>
      <c r="Q45" s="56" t="s">
        <v>41</v>
      </c>
      <c r="R45" s="56">
        <v>18</v>
      </c>
      <c r="S45" s="56" t="s">
        <v>39</v>
      </c>
      <c r="T45" s="56" t="s">
        <v>42</v>
      </c>
      <c r="U45" s="56">
        <v>894</v>
      </c>
      <c r="V45" s="56"/>
      <c r="W45" s="136">
        <v>75.8</v>
      </c>
      <c r="X45" s="56">
        <v>89.9</v>
      </c>
      <c r="Y45" s="56">
        <v>6.22</v>
      </c>
      <c r="Z45" s="56">
        <v>375</v>
      </c>
      <c r="AA45" s="56">
        <v>17.8</v>
      </c>
      <c r="AB45" s="56">
        <v>476</v>
      </c>
      <c r="AC45" s="56">
        <v>99</v>
      </c>
    </row>
    <row r="46" spans="1:29">
      <c r="A46" s="34">
        <v>1</v>
      </c>
      <c r="B46" s="12" t="s">
        <v>64</v>
      </c>
      <c r="C46" s="13">
        <v>2</v>
      </c>
      <c r="D46" s="60">
        <v>44515</v>
      </c>
      <c r="E46" s="52">
        <v>5.52</v>
      </c>
      <c r="F46" s="56">
        <v>4680</v>
      </c>
      <c r="G46" s="54">
        <v>87</v>
      </c>
      <c r="H46" s="55" t="s">
        <v>33</v>
      </c>
      <c r="I46" s="56">
        <v>29.2</v>
      </c>
      <c r="J46" s="56">
        <v>1780</v>
      </c>
      <c r="K46" s="56" t="s">
        <v>34</v>
      </c>
      <c r="L46" s="56" t="s">
        <v>35</v>
      </c>
      <c r="M46" s="56" t="s">
        <v>35</v>
      </c>
      <c r="N46" s="63">
        <v>110</v>
      </c>
      <c r="O46" s="56">
        <v>3</v>
      </c>
      <c r="P46" s="56">
        <v>0.34</v>
      </c>
      <c r="Q46" s="56" t="s">
        <v>41</v>
      </c>
      <c r="R46" s="56">
        <v>4</v>
      </c>
      <c r="S46" s="56" t="s">
        <v>39</v>
      </c>
      <c r="T46" s="56" t="s">
        <v>42</v>
      </c>
      <c r="U46" s="56">
        <v>1040</v>
      </c>
      <c r="V46" s="56"/>
      <c r="W46" s="136">
        <v>567</v>
      </c>
      <c r="X46" s="56">
        <v>213</v>
      </c>
      <c r="Y46" s="56">
        <v>8.73</v>
      </c>
      <c r="Z46" s="56">
        <v>367</v>
      </c>
      <c r="AA46" s="56">
        <v>24.2</v>
      </c>
      <c r="AB46" s="56">
        <v>560</v>
      </c>
      <c r="AC46" s="56">
        <v>109</v>
      </c>
    </row>
    <row r="47" spans="1:29">
      <c r="A47" s="34">
        <v>1</v>
      </c>
      <c r="B47" s="12" t="s">
        <v>64</v>
      </c>
      <c r="C47" s="13">
        <v>2</v>
      </c>
      <c r="D47" s="60">
        <v>44489</v>
      </c>
      <c r="E47" s="52">
        <v>4.99</v>
      </c>
      <c r="F47" s="56">
        <v>4100</v>
      </c>
      <c r="G47" s="54">
        <v>11800</v>
      </c>
      <c r="H47" s="55" t="s">
        <v>33</v>
      </c>
      <c r="I47" s="56">
        <v>23.6</v>
      </c>
      <c r="J47" s="56">
        <v>1440</v>
      </c>
      <c r="K47" s="56" t="s">
        <v>34</v>
      </c>
      <c r="L47" s="56" t="s">
        <v>35</v>
      </c>
      <c r="M47" s="56" t="s">
        <v>35</v>
      </c>
      <c r="N47" s="63">
        <v>90</v>
      </c>
      <c r="O47" s="56">
        <v>3</v>
      </c>
      <c r="P47" s="56">
        <v>4.01</v>
      </c>
      <c r="Q47" s="56" t="s">
        <v>41</v>
      </c>
      <c r="R47" s="56" t="s">
        <v>35</v>
      </c>
      <c r="S47" s="56" t="s">
        <v>39</v>
      </c>
      <c r="T47" s="56" t="s">
        <v>42</v>
      </c>
      <c r="U47" s="56">
        <v>1120</v>
      </c>
      <c r="V47" s="56"/>
      <c r="W47" s="136">
        <v>161</v>
      </c>
      <c r="X47" s="56">
        <v>264</v>
      </c>
      <c r="Y47" s="56">
        <v>9.74</v>
      </c>
      <c r="Z47" s="56">
        <v>372</v>
      </c>
      <c r="AA47" s="56">
        <v>33.799999999999997</v>
      </c>
      <c r="AB47" s="56">
        <v>613</v>
      </c>
      <c r="AC47" s="56">
        <v>114</v>
      </c>
    </row>
    <row r="48" spans="1:29">
      <c r="A48" s="34">
        <v>1</v>
      </c>
      <c r="B48" s="12" t="s">
        <v>64</v>
      </c>
      <c r="C48" s="13">
        <v>2</v>
      </c>
      <c r="D48" s="60">
        <v>44466</v>
      </c>
      <c r="E48" s="52">
        <v>5.18</v>
      </c>
      <c r="F48" s="56">
        <v>4070</v>
      </c>
      <c r="G48" s="54">
        <v>2300</v>
      </c>
      <c r="H48" s="55" t="s">
        <v>33</v>
      </c>
      <c r="I48" s="56">
        <v>28.1</v>
      </c>
      <c r="J48" s="56">
        <v>1710</v>
      </c>
      <c r="K48" s="56" t="s">
        <v>34</v>
      </c>
      <c r="L48" s="56" t="s">
        <v>35</v>
      </c>
      <c r="M48" s="56" t="s">
        <v>35</v>
      </c>
      <c r="N48" s="63">
        <v>80</v>
      </c>
      <c r="O48" s="56">
        <v>3</v>
      </c>
      <c r="P48" s="56">
        <v>4.9000000000000004</v>
      </c>
      <c r="Q48" s="56" t="s">
        <v>41</v>
      </c>
      <c r="R48" s="56" t="s">
        <v>46</v>
      </c>
      <c r="S48" s="56" t="s">
        <v>39</v>
      </c>
      <c r="T48" s="56" t="s">
        <v>42</v>
      </c>
      <c r="U48" s="56">
        <v>1190</v>
      </c>
      <c r="V48" s="56"/>
      <c r="W48" s="136">
        <v>672</v>
      </c>
      <c r="X48" s="56">
        <v>291</v>
      </c>
      <c r="Y48" s="56">
        <v>11.1</v>
      </c>
      <c r="Z48" s="56">
        <v>384</v>
      </c>
      <c r="AA48" s="56">
        <v>29.5</v>
      </c>
      <c r="AB48" s="56">
        <v>672</v>
      </c>
      <c r="AC48" s="56">
        <v>110</v>
      </c>
    </row>
    <row r="49" spans="1:29">
      <c r="A49" s="34">
        <v>1</v>
      </c>
      <c r="B49" s="12" t="s">
        <v>64</v>
      </c>
      <c r="C49" s="13">
        <v>2</v>
      </c>
      <c r="D49" s="60">
        <v>44431</v>
      </c>
      <c r="E49" s="52">
        <v>7.03</v>
      </c>
      <c r="F49" s="56">
        <v>3770</v>
      </c>
      <c r="G49" s="54">
        <v>68</v>
      </c>
      <c r="H49" s="55" t="s">
        <v>33</v>
      </c>
      <c r="I49" s="56">
        <v>53.9</v>
      </c>
      <c r="J49" s="56">
        <v>3290</v>
      </c>
      <c r="K49" s="56" t="s">
        <v>34</v>
      </c>
      <c r="L49" s="56" t="s">
        <v>35</v>
      </c>
      <c r="M49" s="56" t="s">
        <v>35</v>
      </c>
      <c r="N49" s="63">
        <v>70</v>
      </c>
      <c r="O49" s="56">
        <v>2</v>
      </c>
      <c r="P49" s="56" t="s">
        <v>48</v>
      </c>
      <c r="Q49" s="56" t="s">
        <v>41</v>
      </c>
      <c r="R49" s="56">
        <v>18</v>
      </c>
      <c r="S49" s="56" t="s">
        <v>39</v>
      </c>
      <c r="T49" s="56" t="s">
        <v>42</v>
      </c>
      <c r="U49" s="56">
        <v>1060</v>
      </c>
      <c r="V49" s="56"/>
      <c r="W49" s="136">
        <v>35.799999999999997</v>
      </c>
      <c r="X49" s="56">
        <v>61.6</v>
      </c>
      <c r="Y49" s="56">
        <v>8.2100000000000009</v>
      </c>
      <c r="Z49" s="56">
        <v>393</v>
      </c>
      <c r="AA49" s="56">
        <v>14.5</v>
      </c>
      <c r="AB49" s="56">
        <v>604</v>
      </c>
      <c r="AC49" s="56">
        <v>93.9</v>
      </c>
    </row>
    <row r="50" spans="1:29">
      <c r="A50" s="34">
        <v>1</v>
      </c>
      <c r="B50" s="12" t="s">
        <v>64</v>
      </c>
      <c r="C50" s="13">
        <v>2</v>
      </c>
      <c r="D50" s="60">
        <v>44406</v>
      </c>
      <c r="E50" s="52">
        <v>6.67</v>
      </c>
      <c r="F50" s="56">
        <v>4650</v>
      </c>
      <c r="G50" s="54">
        <v>40</v>
      </c>
      <c r="H50" s="55" t="s">
        <v>33</v>
      </c>
      <c r="I50" s="56">
        <v>40.299999999999997</v>
      </c>
      <c r="J50" s="56">
        <v>2460</v>
      </c>
      <c r="K50" s="56" t="s">
        <v>34</v>
      </c>
      <c r="L50" s="56" t="s">
        <v>35</v>
      </c>
      <c r="M50" s="56" t="s">
        <v>36</v>
      </c>
      <c r="N50" s="63">
        <v>89</v>
      </c>
      <c r="O50" s="56">
        <v>2.1</v>
      </c>
      <c r="P50" s="56" t="s">
        <v>37</v>
      </c>
      <c r="Q50" s="56" t="s">
        <v>38</v>
      </c>
      <c r="R50" s="56">
        <v>20</v>
      </c>
      <c r="S50" s="56" t="s">
        <v>39</v>
      </c>
      <c r="T50" s="56" t="s">
        <v>40</v>
      </c>
      <c r="U50" s="56">
        <v>1160</v>
      </c>
      <c r="V50" s="56"/>
      <c r="W50" s="136">
        <v>429</v>
      </c>
      <c r="X50" s="56">
        <v>137</v>
      </c>
      <c r="Y50" s="56">
        <v>9.81</v>
      </c>
      <c r="Z50" s="56">
        <v>378</v>
      </c>
      <c r="AA50" s="56">
        <v>18.3</v>
      </c>
      <c r="AB50" s="56">
        <v>672</v>
      </c>
      <c r="AC50" s="56">
        <v>95.8</v>
      </c>
    </row>
    <row r="51" spans="1:29">
      <c r="A51" s="34">
        <v>1</v>
      </c>
      <c r="B51" s="12" t="s">
        <v>64</v>
      </c>
      <c r="C51" s="13">
        <v>2</v>
      </c>
      <c r="D51" s="169" t="s">
        <v>3</v>
      </c>
      <c r="E51" s="52">
        <v>5.29</v>
      </c>
      <c r="F51" s="56">
        <v>4100</v>
      </c>
      <c r="G51" s="54">
        <v>410</v>
      </c>
      <c r="H51" s="55" t="s">
        <v>33</v>
      </c>
      <c r="I51" s="56">
        <v>31.9</v>
      </c>
      <c r="J51" s="56">
        <v>1950</v>
      </c>
      <c r="K51" s="56" t="s">
        <v>34</v>
      </c>
      <c r="L51" s="56" t="s">
        <v>35</v>
      </c>
      <c r="M51" s="56" t="s">
        <v>36</v>
      </c>
      <c r="N51" s="63">
        <v>107</v>
      </c>
      <c r="O51" s="56">
        <v>4.9000000000000004</v>
      </c>
      <c r="P51" s="56">
        <v>0.28000000000000003</v>
      </c>
      <c r="Q51" s="56" t="s">
        <v>38</v>
      </c>
      <c r="R51" s="56">
        <v>8.6</v>
      </c>
      <c r="S51" s="56" t="s">
        <v>39</v>
      </c>
      <c r="T51" s="56" t="s">
        <v>40</v>
      </c>
      <c r="U51" s="56">
        <v>1260</v>
      </c>
      <c r="V51" s="56"/>
      <c r="W51" s="136">
        <v>894</v>
      </c>
      <c r="X51" s="56">
        <v>231</v>
      </c>
      <c r="Y51" s="56">
        <v>10.9</v>
      </c>
      <c r="Z51" s="56">
        <v>351</v>
      </c>
      <c r="AA51" s="56">
        <v>27</v>
      </c>
      <c r="AB51" s="56">
        <v>747</v>
      </c>
      <c r="AC51" s="56">
        <v>91.7</v>
      </c>
    </row>
    <row r="52" spans="1:29">
      <c r="A52" s="11">
        <v>1</v>
      </c>
      <c r="B52" s="12" t="s">
        <v>64</v>
      </c>
      <c r="C52" s="13">
        <v>2</v>
      </c>
      <c r="D52" s="60">
        <v>44312</v>
      </c>
      <c r="E52" s="52">
        <v>5.01</v>
      </c>
      <c r="F52" s="56">
        <v>5530</v>
      </c>
      <c r="G52" s="54">
        <v>1400</v>
      </c>
      <c r="H52" s="55" t="s">
        <v>33</v>
      </c>
      <c r="I52" s="56">
        <v>33</v>
      </c>
      <c r="J52" s="56">
        <v>2010</v>
      </c>
      <c r="K52" s="56" t="s">
        <v>34</v>
      </c>
      <c r="L52" s="56" t="s">
        <v>35</v>
      </c>
      <c r="M52" s="56" t="s">
        <v>35</v>
      </c>
      <c r="N52" s="63">
        <v>70</v>
      </c>
      <c r="O52" s="56">
        <v>2</v>
      </c>
      <c r="P52" s="56">
        <v>5.0599999999999996</v>
      </c>
      <c r="Q52" s="56" t="s">
        <v>41</v>
      </c>
      <c r="R52" s="56" t="s">
        <v>35</v>
      </c>
      <c r="S52" s="56" t="s">
        <v>39</v>
      </c>
      <c r="T52" s="56" t="s">
        <v>42</v>
      </c>
      <c r="U52" s="56">
        <v>1640</v>
      </c>
      <c r="V52" s="56"/>
      <c r="W52" s="136">
        <v>186</v>
      </c>
      <c r="X52" s="56">
        <v>301</v>
      </c>
      <c r="Y52" s="56">
        <v>14.4</v>
      </c>
      <c r="Z52" s="56">
        <v>350</v>
      </c>
      <c r="AA52" s="56">
        <v>35.9</v>
      </c>
      <c r="AB52" s="56">
        <v>986</v>
      </c>
      <c r="AC52" s="56">
        <v>114</v>
      </c>
    </row>
    <row r="53" spans="1:29">
      <c r="A53" s="11">
        <v>1</v>
      </c>
      <c r="B53" s="12" t="s">
        <v>64</v>
      </c>
      <c r="C53" s="13">
        <v>2</v>
      </c>
      <c r="D53" s="60">
        <v>44280</v>
      </c>
      <c r="E53" s="52">
        <v>4.87</v>
      </c>
      <c r="F53" s="56">
        <v>5890</v>
      </c>
      <c r="G53" s="54">
        <v>7700</v>
      </c>
      <c r="H53" s="55" t="s">
        <v>33</v>
      </c>
      <c r="I53" s="56">
        <v>34.5</v>
      </c>
      <c r="J53" s="56">
        <v>2100</v>
      </c>
      <c r="K53" s="56" t="s">
        <v>34</v>
      </c>
      <c r="L53" s="56" t="s">
        <v>35</v>
      </c>
      <c r="M53" s="56" t="s">
        <v>36</v>
      </c>
      <c r="N53" s="63">
        <v>60</v>
      </c>
      <c r="O53" s="56">
        <v>1.5</v>
      </c>
      <c r="P53" s="56">
        <v>4.9000000000000004</v>
      </c>
      <c r="Q53" s="56" t="s">
        <v>38</v>
      </c>
      <c r="R53" s="56" t="s">
        <v>53</v>
      </c>
      <c r="S53" s="56">
        <v>0.37</v>
      </c>
      <c r="T53" s="56" t="s">
        <v>40</v>
      </c>
      <c r="U53" s="56">
        <v>2490</v>
      </c>
      <c r="V53" s="56"/>
      <c r="W53" s="136">
        <v>1150</v>
      </c>
      <c r="X53" s="56">
        <v>432</v>
      </c>
      <c r="Y53" s="56">
        <v>22.1</v>
      </c>
      <c r="Z53" s="56">
        <v>366</v>
      </c>
      <c r="AA53" s="56">
        <v>59.4</v>
      </c>
      <c r="AB53" s="56">
        <v>1510</v>
      </c>
      <c r="AC53" s="56">
        <v>165</v>
      </c>
    </row>
    <row r="54" spans="1:29">
      <c r="A54" s="11">
        <v>1</v>
      </c>
      <c r="B54" s="12" t="s">
        <v>64</v>
      </c>
      <c r="C54" s="13">
        <v>2</v>
      </c>
      <c r="D54" s="60">
        <v>44249</v>
      </c>
      <c r="E54" s="52">
        <v>4.57</v>
      </c>
      <c r="F54" s="56">
        <v>4660</v>
      </c>
      <c r="G54" s="54">
        <v>22000</v>
      </c>
      <c r="H54" s="55" t="s">
        <v>33</v>
      </c>
      <c r="I54" s="56">
        <v>8.6</v>
      </c>
      <c r="J54" s="56">
        <v>525</v>
      </c>
      <c r="K54" s="56" t="s">
        <v>34</v>
      </c>
      <c r="L54" s="56" t="s">
        <v>35</v>
      </c>
      <c r="M54" s="56" t="s">
        <v>36</v>
      </c>
      <c r="N54" s="63">
        <v>67</v>
      </c>
      <c r="O54" s="56">
        <v>4.0999999999999996</v>
      </c>
      <c r="P54" s="56">
        <v>22.4</v>
      </c>
      <c r="Q54" s="56" t="s">
        <v>38</v>
      </c>
      <c r="R54" s="56" t="s">
        <v>53</v>
      </c>
      <c r="S54" s="56">
        <v>0.1</v>
      </c>
      <c r="T54" s="56" t="s">
        <v>40</v>
      </c>
      <c r="U54" s="56">
        <v>2240</v>
      </c>
      <c r="V54" s="87"/>
      <c r="W54" s="136">
        <v>3280</v>
      </c>
      <c r="X54" s="56">
        <v>430</v>
      </c>
      <c r="Y54" s="56">
        <v>19.2</v>
      </c>
      <c r="Z54" s="56">
        <v>339</v>
      </c>
      <c r="AA54" s="56">
        <v>103</v>
      </c>
      <c r="AB54" s="56">
        <v>1330</v>
      </c>
      <c r="AC54" s="56">
        <v>165</v>
      </c>
    </row>
    <row r="55" spans="1:29">
      <c r="A55" s="11">
        <v>1</v>
      </c>
      <c r="B55" s="12" t="s">
        <v>64</v>
      </c>
      <c r="C55" s="13">
        <v>2</v>
      </c>
      <c r="D55" s="60">
        <v>44217</v>
      </c>
      <c r="E55" s="52">
        <v>4.8899999999999997</v>
      </c>
      <c r="F55" s="56">
        <v>3760</v>
      </c>
      <c r="G55" s="54">
        <v>8000</v>
      </c>
      <c r="H55" s="55" t="s">
        <v>33</v>
      </c>
      <c r="I55" s="56">
        <v>8.3000000000000007</v>
      </c>
      <c r="J55" s="56">
        <v>506</v>
      </c>
      <c r="K55" s="56" t="s">
        <v>34</v>
      </c>
      <c r="L55" s="56" t="s">
        <v>35</v>
      </c>
      <c r="M55" s="56" t="s">
        <v>35</v>
      </c>
      <c r="N55" s="63">
        <v>70</v>
      </c>
      <c r="O55" s="56">
        <v>3</v>
      </c>
      <c r="P55" s="56">
        <v>8.9</v>
      </c>
      <c r="Q55" s="56" t="s">
        <v>41</v>
      </c>
      <c r="R55" s="56" t="s">
        <v>57</v>
      </c>
      <c r="S55" s="56" t="s">
        <v>39</v>
      </c>
      <c r="T55" s="56" t="s">
        <v>42</v>
      </c>
      <c r="U55" s="56">
        <v>1130</v>
      </c>
      <c r="V55" s="56"/>
      <c r="W55" s="136">
        <v>957</v>
      </c>
      <c r="X55" s="56">
        <v>141</v>
      </c>
      <c r="Y55" s="56">
        <v>8.75</v>
      </c>
      <c r="Z55" s="56">
        <v>298</v>
      </c>
      <c r="AA55" s="56">
        <v>48.4</v>
      </c>
      <c r="AB55" s="56">
        <v>679</v>
      </c>
      <c r="AC55" s="56">
        <v>78.400000000000006</v>
      </c>
    </row>
    <row r="56" spans="1:29">
      <c r="A56" s="11">
        <v>1</v>
      </c>
      <c r="B56" s="12" t="s">
        <v>64</v>
      </c>
      <c r="C56" s="13">
        <v>2</v>
      </c>
      <c r="D56" s="60">
        <v>44186</v>
      </c>
      <c r="E56" s="52">
        <v>5.5</v>
      </c>
      <c r="F56" s="56">
        <v>2500</v>
      </c>
      <c r="G56" s="54">
        <v>3200</v>
      </c>
      <c r="H56" s="55" t="s">
        <v>33</v>
      </c>
      <c r="I56" s="56">
        <v>15.7</v>
      </c>
      <c r="J56" s="56">
        <v>958</v>
      </c>
      <c r="K56" s="53" t="s">
        <v>34</v>
      </c>
      <c r="L56" s="56" t="s">
        <v>35</v>
      </c>
      <c r="M56" s="56" t="s">
        <v>35</v>
      </c>
      <c r="N56" s="63">
        <v>70</v>
      </c>
      <c r="O56" s="56">
        <v>2</v>
      </c>
      <c r="P56" s="56">
        <v>0.86</v>
      </c>
      <c r="Q56" s="56" t="s">
        <v>41</v>
      </c>
      <c r="R56" s="56" t="s">
        <v>57</v>
      </c>
      <c r="S56" s="56" t="s">
        <v>39</v>
      </c>
      <c r="T56" s="56" t="s">
        <v>42</v>
      </c>
      <c r="U56" s="56">
        <v>660</v>
      </c>
      <c r="V56" s="87"/>
      <c r="W56" s="65">
        <v>2560</v>
      </c>
      <c r="X56" s="53">
        <v>44.7</v>
      </c>
      <c r="Y56" s="53">
        <v>3.44</v>
      </c>
      <c r="Z56" s="53">
        <v>248</v>
      </c>
      <c r="AA56" s="53">
        <v>22.6</v>
      </c>
      <c r="AB56" s="53">
        <v>409</v>
      </c>
      <c r="AC56" s="53">
        <v>38</v>
      </c>
    </row>
    <row r="57" spans="1:29" ht="15" thickBot="1">
      <c r="A57" s="15">
        <v>1</v>
      </c>
      <c r="B57" s="16" t="s">
        <v>64</v>
      </c>
      <c r="C57" s="17">
        <v>2</v>
      </c>
      <c r="D57" s="157">
        <v>44160</v>
      </c>
      <c r="E57" s="111">
        <v>7.56</v>
      </c>
      <c r="F57" s="115">
        <v>1110</v>
      </c>
      <c r="G57" s="113">
        <v>2.1</v>
      </c>
      <c r="H57" s="114" t="s">
        <v>33</v>
      </c>
      <c r="I57" s="115">
        <v>10.199999999999999</v>
      </c>
      <c r="J57" s="115">
        <v>622</v>
      </c>
      <c r="K57" s="112" t="s">
        <v>34</v>
      </c>
      <c r="L57" s="115" t="s">
        <v>35</v>
      </c>
      <c r="M57" s="115" t="s">
        <v>36</v>
      </c>
      <c r="N57" s="116">
        <v>55</v>
      </c>
      <c r="O57" s="115">
        <v>0.5</v>
      </c>
      <c r="P57" s="115" t="s">
        <v>37</v>
      </c>
      <c r="Q57" s="115">
        <v>80</v>
      </c>
      <c r="R57" s="115">
        <v>0.21</v>
      </c>
      <c r="S57" s="115">
        <v>0.01</v>
      </c>
      <c r="T57" s="115" t="s">
        <v>40</v>
      </c>
      <c r="U57" s="115">
        <v>187</v>
      </c>
      <c r="V57" s="71"/>
      <c r="W57" s="118">
        <v>1.2</v>
      </c>
      <c r="X57" s="112">
        <v>0.24</v>
      </c>
      <c r="Y57" s="112">
        <v>0.77</v>
      </c>
      <c r="Z57" s="112">
        <v>171</v>
      </c>
      <c r="AA57" s="112">
        <v>2.8</v>
      </c>
      <c r="AB57" s="112">
        <v>85.8</v>
      </c>
      <c r="AC57" s="112">
        <v>28.9</v>
      </c>
    </row>
    <row r="58" spans="1:29" ht="15" thickBot="1">
      <c r="A58" s="33">
        <v>2</v>
      </c>
      <c r="B58" s="20" t="s">
        <v>64</v>
      </c>
      <c r="C58" s="21">
        <v>3</v>
      </c>
      <c r="D58" s="174">
        <v>46085</v>
      </c>
      <c r="E58" s="205"/>
      <c r="F58" s="206"/>
      <c r="G58" s="207"/>
      <c r="H58" s="208"/>
      <c r="I58" s="206"/>
      <c r="J58" s="206"/>
      <c r="K58" s="209"/>
      <c r="L58" s="206"/>
      <c r="M58" s="206"/>
      <c r="N58" s="210">
        <v>620</v>
      </c>
      <c r="O58" s="206"/>
      <c r="P58" s="206"/>
      <c r="Q58" s="206"/>
      <c r="R58" s="206"/>
      <c r="S58" s="206"/>
      <c r="T58" s="206"/>
      <c r="U58" s="206"/>
      <c r="V58" s="214"/>
      <c r="W58" s="215">
        <v>380</v>
      </c>
      <c r="X58" s="209"/>
      <c r="Y58" s="209"/>
      <c r="Z58" s="209"/>
      <c r="AA58" s="209"/>
      <c r="AB58" s="209"/>
      <c r="AC58" s="209"/>
    </row>
    <row r="59" spans="1:29">
      <c r="A59" s="150">
        <v>2</v>
      </c>
      <c r="B59" s="8" t="s">
        <v>64</v>
      </c>
      <c r="C59" s="9">
        <v>3</v>
      </c>
      <c r="D59" s="131">
        <v>45971</v>
      </c>
      <c r="E59" s="44">
        <v>6.61</v>
      </c>
      <c r="F59" s="48">
        <v>3130</v>
      </c>
      <c r="G59" s="216">
        <v>140</v>
      </c>
      <c r="H59" s="44" t="s">
        <v>33</v>
      </c>
      <c r="I59" s="44">
        <v>17.399999999999999</v>
      </c>
      <c r="J59" s="44">
        <v>1060</v>
      </c>
      <c r="K59" s="44" t="s">
        <v>34</v>
      </c>
      <c r="L59" s="44" t="s">
        <v>35</v>
      </c>
      <c r="M59" s="44" t="s">
        <v>36</v>
      </c>
      <c r="N59" s="132">
        <v>614</v>
      </c>
      <c r="O59" s="44" t="s">
        <v>36</v>
      </c>
      <c r="P59" s="44" t="s">
        <v>48</v>
      </c>
      <c r="Q59" s="44" t="s">
        <v>38</v>
      </c>
      <c r="R59" s="44">
        <v>8</v>
      </c>
      <c r="S59" s="44">
        <v>0.03</v>
      </c>
      <c r="T59" s="44" t="s">
        <v>40</v>
      </c>
      <c r="U59" s="44">
        <v>705</v>
      </c>
      <c r="V59" s="48"/>
      <c r="W59" s="133">
        <v>515</v>
      </c>
      <c r="X59" s="48">
        <v>45</v>
      </c>
      <c r="Y59" s="48">
        <v>4.3899999999999997</v>
      </c>
      <c r="Z59" s="48">
        <v>256</v>
      </c>
      <c r="AA59" s="48">
        <v>4.2</v>
      </c>
      <c r="AB59" s="48">
        <v>414</v>
      </c>
      <c r="AC59" s="48">
        <v>54.5</v>
      </c>
    </row>
    <row r="60" spans="1:29">
      <c r="A60" s="34">
        <v>2</v>
      </c>
      <c r="B60" s="12" t="s">
        <v>64</v>
      </c>
      <c r="C60" s="13">
        <v>3</v>
      </c>
      <c r="D60" s="168">
        <v>45895</v>
      </c>
      <c r="E60" s="74"/>
      <c r="F60" s="78"/>
      <c r="G60" s="82"/>
      <c r="H60" s="74"/>
      <c r="I60" s="74"/>
      <c r="J60" s="74"/>
      <c r="K60" s="74"/>
      <c r="L60" s="74"/>
      <c r="M60" s="74"/>
      <c r="N60" s="120">
        <v>593</v>
      </c>
      <c r="O60" s="74"/>
      <c r="P60" s="74"/>
      <c r="Q60" s="74"/>
      <c r="R60" s="74"/>
      <c r="S60" s="74"/>
      <c r="T60" s="74"/>
      <c r="U60" s="74"/>
      <c r="V60" s="78"/>
      <c r="W60" s="200">
        <v>130</v>
      </c>
      <c r="X60" s="78"/>
      <c r="Y60" s="78"/>
      <c r="Z60" s="78"/>
      <c r="AA60" s="78"/>
      <c r="AB60" s="78"/>
      <c r="AC60" s="78"/>
    </row>
    <row r="61" spans="1:29">
      <c r="A61" s="34">
        <v>2</v>
      </c>
      <c r="B61" s="12" t="s">
        <v>64</v>
      </c>
      <c r="C61" s="13">
        <v>3</v>
      </c>
      <c r="D61" s="60">
        <v>45782</v>
      </c>
      <c r="E61" s="52">
        <v>6.67</v>
      </c>
      <c r="F61" s="56">
        <v>2950</v>
      </c>
      <c r="G61" s="84">
        <v>18.2</v>
      </c>
      <c r="H61" s="52" t="s">
        <v>33</v>
      </c>
      <c r="I61" s="52">
        <v>19.100000000000001</v>
      </c>
      <c r="J61" s="52">
        <v>1170</v>
      </c>
      <c r="K61" s="52" t="s">
        <v>34</v>
      </c>
      <c r="L61" s="52" t="s">
        <v>35</v>
      </c>
      <c r="M61" s="52" t="s">
        <v>35</v>
      </c>
      <c r="N61" s="63">
        <v>540</v>
      </c>
      <c r="O61" s="52" t="s">
        <v>35</v>
      </c>
      <c r="P61" s="52" t="s">
        <v>37</v>
      </c>
      <c r="Q61" s="52" t="s">
        <v>41</v>
      </c>
      <c r="R61" s="52">
        <v>9.3000000000000007</v>
      </c>
      <c r="S61" s="52" t="s">
        <v>39</v>
      </c>
      <c r="T61" s="52" t="s">
        <v>42</v>
      </c>
      <c r="U61" s="52">
        <v>680</v>
      </c>
      <c r="V61" s="56"/>
      <c r="W61" s="136">
        <v>36.700000000000003</v>
      </c>
      <c r="X61" s="56">
        <v>39.6</v>
      </c>
      <c r="Y61" s="56">
        <v>4.1500000000000004</v>
      </c>
      <c r="Z61" s="56">
        <v>266</v>
      </c>
      <c r="AA61" s="56">
        <v>3.9</v>
      </c>
      <c r="AB61" s="56">
        <v>398</v>
      </c>
      <c r="AC61" s="56">
        <v>53.5</v>
      </c>
    </row>
    <row r="62" spans="1:29">
      <c r="A62" s="34">
        <v>2</v>
      </c>
      <c r="B62" s="12" t="s">
        <v>64</v>
      </c>
      <c r="C62" s="13">
        <v>3</v>
      </c>
      <c r="D62" s="60">
        <v>45706</v>
      </c>
      <c r="E62" s="52"/>
      <c r="F62" s="56"/>
      <c r="G62" s="54"/>
      <c r="H62" s="55"/>
      <c r="I62" s="56"/>
      <c r="J62" s="56"/>
      <c r="K62" s="53"/>
      <c r="L62" s="56"/>
      <c r="M62" s="56"/>
      <c r="N62" s="63">
        <v>490</v>
      </c>
      <c r="O62" s="56"/>
      <c r="P62" s="56"/>
      <c r="Q62" s="56"/>
      <c r="R62" s="56"/>
      <c r="S62" s="56"/>
      <c r="T62" s="56"/>
      <c r="U62" s="56"/>
      <c r="V62" s="87"/>
      <c r="W62" s="65">
        <v>202</v>
      </c>
      <c r="X62" s="53"/>
      <c r="Y62" s="53"/>
      <c r="Z62" s="53"/>
      <c r="AA62" s="53"/>
      <c r="AB62" s="53"/>
      <c r="AC62" s="53"/>
    </row>
    <row r="63" spans="1:29">
      <c r="A63" s="34">
        <v>2</v>
      </c>
      <c r="B63" s="12" t="s">
        <v>64</v>
      </c>
      <c r="C63" s="13">
        <v>3</v>
      </c>
      <c r="D63" s="60">
        <v>45006</v>
      </c>
      <c r="E63" s="52">
        <v>6.32</v>
      </c>
      <c r="F63" s="56">
        <v>3660</v>
      </c>
      <c r="G63" s="84">
        <v>41</v>
      </c>
      <c r="H63" s="52" t="s">
        <v>33</v>
      </c>
      <c r="I63" s="52">
        <v>24.4</v>
      </c>
      <c r="J63" s="52">
        <v>1490</v>
      </c>
      <c r="K63" s="52" t="s">
        <v>34</v>
      </c>
      <c r="L63" s="52" t="s">
        <v>35</v>
      </c>
      <c r="M63" s="52" t="s">
        <v>35</v>
      </c>
      <c r="N63" s="63">
        <v>510</v>
      </c>
      <c r="O63" s="52" t="s">
        <v>35</v>
      </c>
      <c r="P63" s="52" t="s">
        <v>37</v>
      </c>
      <c r="Q63" s="52" t="s">
        <v>41</v>
      </c>
      <c r="R63" s="52">
        <v>6.7</v>
      </c>
      <c r="S63" s="52" t="s">
        <v>39</v>
      </c>
      <c r="T63" s="52" t="s">
        <v>42</v>
      </c>
      <c r="U63" s="52">
        <v>804</v>
      </c>
      <c r="V63" s="56"/>
      <c r="W63" s="136">
        <v>110</v>
      </c>
      <c r="X63" s="56">
        <v>111</v>
      </c>
      <c r="Y63" s="56">
        <v>5.29</v>
      </c>
      <c r="Z63" s="56">
        <v>305</v>
      </c>
      <c r="AA63" s="56">
        <v>6.9</v>
      </c>
      <c r="AB63" s="56">
        <v>470</v>
      </c>
      <c r="AC63" s="56">
        <v>63.4</v>
      </c>
    </row>
    <row r="64" spans="1:29">
      <c r="A64" s="11">
        <v>2</v>
      </c>
      <c r="B64" s="12" t="s">
        <v>64</v>
      </c>
      <c r="C64" s="13">
        <v>3</v>
      </c>
      <c r="D64" s="60">
        <v>44747</v>
      </c>
      <c r="E64" s="52">
        <v>6.33</v>
      </c>
      <c r="F64" s="56">
        <v>4120</v>
      </c>
      <c r="G64" s="54">
        <v>39</v>
      </c>
      <c r="H64" s="55" t="s">
        <v>33</v>
      </c>
      <c r="I64" s="55">
        <v>20.6</v>
      </c>
      <c r="J64" s="56">
        <v>1260</v>
      </c>
      <c r="K64" s="56" t="s">
        <v>34</v>
      </c>
      <c r="L64" s="56" t="s">
        <v>35</v>
      </c>
      <c r="M64" s="56" t="s">
        <v>35</v>
      </c>
      <c r="N64" s="63">
        <v>560</v>
      </c>
      <c r="O64" s="56">
        <v>2</v>
      </c>
      <c r="P64" s="56" t="s">
        <v>37</v>
      </c>
      <c r="Q64" s="56" t="s">
        <v>41</v>
      </c>
      <c r="R64" s="56">
        <v>8</v>
      </c>
      <c r="S64" s="56" t="s">
        <v>39</v>
      </c>
      <c r="T64" s="56" t="s">
        <v>42</v>
      </c>
      <c r="U64" s="56">
        <v>830</v>
      </c>
      <c r="V64" s="56"/>
      <c r="W64" s="136">
        <v>370</v>
      </c>
      <c r="X64" s="56">
        <v>111</v>
      </c>
      <c r="Y64" s="56">
        <v>5.53</v>
      </c>
      <c r="Z64" s="56">
        <v>310</v>
      </c>
      <c r="AA64" s="56">
        <v>8.8000000000000007</v>
      </c>
      <c r="AB64" s="56">
        <v>493</v>
      </c>
      <c r="AC64" s="56">
        <v>60.8</v>
      </c>
    </row>
    <row r="65" spans="1:29">
      <c r="A65" s="11">
        <v>2</v>
      </c>
      <c r="B65" s="12" t="s">
        <v>64</v>
      </c>
      <c r="C65" s="13">
        <v>3</v>
      </c>
      <c r="D65" s="60">
        <v>44641</v>
      </c>
      <c r="E65" s="52">
        <v>6.31</v>
      </c>
      <c r="F65" s="56">
        <v>3860</v>
      </c>
      <c r="G65" s="54">
        <v>110</v>
      </c>
      <c r="H65" s="55" t="s">
        <v>33</v>
      </c>
      <c r="I65" s="55">
        <v>28.7</v>
      </c>
      <c r="J65" s="56">
        <v>1750</v>
      </c>
      <c r="K65" s="56" t="s">
        <v>34</v>
      </c>
      <c r="L65" s="56" t="s">
        <v>35</v>
      </c>
      <c r="M65" s="56" t="s">
        <v>35</v>
      </c>
      <c r="N65" s="63">
        <v>410</v>
      </c>
      <c r="O65" s="56" t="s">
        <v>35</v>
      </c>
      <c r="P65" s="56" t="s">
        <v>37</v>
      </c>
      <c r="Q65" s="56" t="s">
        <v>41</v>
      </c>
      <c r="R65" s="56" t="s">
        <v>54</v>
      </c>
      <c r="S65" s="56" t="s">
        <v>39</v>
      </c>
      <c r="T65" s="56" t="s">
        <v>42</v>
      </c>
      <c r="U65" s="56">
        <v>985</v>
      </c>
      <c r="V65" s="56"/>
      <c r="W65" s="136">
        <v>657</v>
      </c>
      <c r="X65" s="56">
        <v>162</v>
      </c>
      <c r="Y65" s="56">
        <v>8.01</v>
      </c>
      <c r="Z65" s="56">
        <v>320</v>
      </c>
      <c r="AA65" s="56">
        <v>8.1</v>
      </c>
      <c r="AB65" s="56">
        <v>578</v>
      </c>
      <c r="AC65" s="56">
        <v>76.2</v>
      </c>
    </row>
    <row r="66" spans="1:29">
      <c r="A66" s="11">
        <v>2</v>
      </c>
      <c r="B66" s="12" t="s">
        <v>64</v>
      </c>
      <c r="C66" s="13">
        <v>3</v>
      </c>
      <c r="D66" s="60">
        <v>44613</v>
      </c>
      <c r="E66" s="52">
        <v>6.05</v>
      </c>
      <c r="F66" s="56">
        <v>2900</v>
      </c>
      <c r="G66" s="54">
        <v>76</v>
      </c>
      <c r="H66" s="55" t="s">
        <v>33</v>
      </c>
      <c r="I66" s="55">
        <v>20.6</v>
      </c>
      <c r="J66" s="56">
        <v>1260</v>
      </c>
      <c r="K66" s="56" t="s">
        <v>34</v>
      </c>
      <c r="L66" s="56" t="s">
        <v>35</v>
      </c>
      <c r="M66" s="56" t="s">
        <v>35</v>
      </c>
      <c r="N66" s="63">
        <v>210</v>
      </c>
      <c r="O66" s="56">
        <v>2</v>
      </c>
      <c r="P66" s="56" t="s">
        <v>37</v>
      </c>
      <c r="Q66" s="56" t="s">
        <v>41</v>
      </c>
      <c r="R66" s="56" t="s">
        <v>54</v>
      </c>
      <c r="S66" s="56" t="s">
        <v>39</v>
      </c>
      <c r="T66" s="56" t="s">
        <v>42</v>
      </c>
      <c r="U66" s="56">
        <v>606</v>
      </c>
      <c r="V66" s="56"/>
      <c r="W66" s="136">
        <v>531</v>
      </c>
      <c r="X66" s="56">
        <v>106</v>
      </c>
      <c r="Y66" s="56">
        <v>4.46</v>
      </c>
      <c r="Z66" s="56">
        <v>292</v>
      </c>
      <c r="AA66" s="56">
        <v>13.9</v>
      </c>
      <c r="AB66" s="56">
        <v>350</v>
      </c>
      <c r="AC66" s="56">
        <v>50.4</v>
      </c>
    </row>
    <row r="67" spans="1:29">
      <c r="A67" s="11">
        <v>2</v>
      </c>
      <c r="B67" s="12" t="s">
        <v>64</v>
      </c>
      <c r="C67" s="13">
        <v>3</v>
      </c>
      <c r="D67" s="60">
        <v>44586</v>
      </c>
      <c r="E67" s="52">
        <v>6.03</v>
      </c>
      <c r="F67" s="56">
        <v>2890</v>
      </c>
      <c r="G67" s="54" t="s">
        <v>38</v>
      </c>
      <c r="H67" s="55" t="s">
        <v>33</v>
      </c>
      <c r="I67" s="55">
        <v>23.2</v>
      </c>
      <c r="J67" s="56">
        <v>1420</v>
      </c>
      <c r="K67" s="56" t="s">
        <v>34</v>
      </c>
      <c r="L67" s="56" t="s">
        <v>35</v>
      </c>
      <c r="M67" s="56" t="s">
        <v>35</v>
      </c>
      <c r="N67" s="63">
        <v>230</v>
      </c>
      <c r="O67" s="56" t="s">
        <v>35</v>
      </c>
      <c r="P67" s="56" t="s">
        <v>37</v>
      </c>
      <c r="Q67" s="56" t="s">
        <v>41</v>
      </c>
      <c r="R67" s="56" t="s">
        <v>46</v>
      </c>
      <c r="S67" s="56" t="s">
        <v>39</v>
      </c>
      <c r="T67" s="56" t="s">
        <v>42</v>
      </c>
      <c r="U67" s="56">
        <v>725</v>
      </c>
      <c r="V67" s="56"/>
      <c r="W67" s="136">
        <v>264</v>
      </c>
      <c r="X67" s="56">
        <v>132</v>
      </c>
      <c r="Y67" s="56">
        <v>5.54</v>
      </c>
      <c r="Z67" s="56">
        <v>322</v>
      </c>
      <c r="AA67" s="56">
        <v>14.6</v>
      </c>
      <c r="AB67" s="56">
        <v>417</v>
      </c>
      <c r="AC67" s="56">
        <v>61.2</v>
      </c>
    </row>
    <row r="68" spans="1:29">
      <c r="A68" s="11">
        <v>2</v>
      </c>
      <c r="B68" s="12" t="s">
        <v>64</v>
      </c>
      <c r="C68" s="13">
        <v>3</v>
      </c>
      <c r="D68" s="60">
        <v>44543</v>
      </c>
      <c r="E68" s="52">
        <v>6.01</v>
      </c>
      <c r="F68" s="56">
        <v>3150</v>
      </c>
      <c r="G68" s="54">
        <v>430</v>
      </c>
      <c r="H68" s="55" t="s">
        <v>33</v>
      </c>
      <c r="I68" s="55">
        <v>30.6</v>
      </c>
      <c r="J68" s="56">
        <v>1860</v>
      </c>
      <c r="K68" s="56" t="s">
        <v>34</v>
      </c>
      <c r="L68" s="56" t="s">
        <v>35</v>
      </c>
      <c r="M68" s="56" t="s">
        <v>35</v>
      </c>
      <c r="N68" s="63">
        <v>260</v>
      </c>
      <c r="O68" s="56" t="s">
        <v>35</v>
      </c>
      <c r="P68" s="56" t="s">
        <v>37</v>
      </c>
      <c r="Q68" s="56" t="s">
        <v>41</v>
      </c>
      <c r="R68" s="56" t="s">
        <v>35</v>
      </c>
      <c r="S68" s="56" t="s">
        <v>39</v>
      </c>
      <c r="T68" s="56" t="s">
        <v>42</v>
      </c>
      <c r="U68" s="56">
        <v>793</v>
      </c>
      <c r="V68" s="56"/>
      <c r="W68" s="136">
        <v>452</v>
      </c>
      <c r="X68" s="56">
        <v>135</v>
      </c>
      <c r="Y68" s="56">
        <v>6.14</v>
      </c>
      <c r="Z68" s="56">
        <v>315</v>
      </c>
      <c r="AA68" s="56">
        <v>12.9</v>
      </c>
      <c r="AB68" s="56">
        <v>459</v>
      </c>
      <c r="AC68" s="56">
        <v>65.2</v>
      </c>
    </row>
    <row r="69" spans="1:29">
      <c r="A69" s="11">
        <v>2</v>
      </c>
      <c r="B69" s="12" t="s">
        <v>64</v>
      </c>
      <c r="C69" s="13">
        <v>3</v>
      </c>
      <c r="D69" s="60">
        <v>44515</v>
      </c>
      <c r="E69" s="52">
        <v>5.91</v>
      </c>
      <c r="F69" s="56">
        <v>3960</v>
      </c>
      <c r="G69" s="54">
        <v>380</v>
      </c>
      <c r="H69" s="55" t="s">
        <v>33</v>
      </c>
      <c r="I69" s="55">
        <v>25.9</v>
      </c>
      <c r="J69" s="56">
        <v>1580</v>
      </c>
      <c r="K69" s="56" t="s">
        <v>34</v>
      </c>
      <c r="L69" s="56" t="s">
        <v>35</v>
      </c>
      <c r="M69" s="56" t="s">
        <v>35</v>
      </c>
      <c r="N69" s="63">
        <v>270</v>
      </c>
      <c r="O69" s="56">
        <v>2</v>
      </c>
      <c r="P69" s="56" t="s">
        <v>37</v>
      </c>
      <c r="Q69" s="56" t="s">
        <v>41</v>
      </c>
      <c r="R69" s="56" t="s">
        <v>35</v>
      </c>
      <c r="S69" s="56" t="s">
        <v>39</v>
      </c>
      <c r="T69" s="56" t="s">
        <v>42</v>
      </c>
      <c r="U69" s="56">
        <v>909</v>
      </c>
      <c r="V69" s="56"/>
      <c r="W69" s="136">
        <v>559</v>
      </c>
      <c r="X69" s="56">
        <v>142</v>
      </c>
      <c r="Y69" s="56">
        <v>6.94</v>
      </c>
      <c r="Z69" s="56">
        <v>317</v>
      </c>
      <c r="AA69" s="56">
        <v>14.2</v>
      </c>
      <c r="AB69" s="56">
        <v>538</v>
      </c>
      <c r="AC69" s="56">
        <v>67.8</v>
      </c>
    </row>
    <row r="70" spans="1:29">
      <c r="A70" s="11">
        <v>2</v>
      </c>
      <c r="B70" s="12" t="s">
        <v>64</v>
      </c>
      <c r="C70" s="13">
        <v>3</v>
      </c>
      <c r="D70" s="60">
        <v>44489</v>
      </c>
      <c r="E70" s="52">
        <v>5.9</v>
      </c>
      <c r="F70" s="56">
        <v>3340</v>
      </c>
      <c r="G70" s="54">
        <v>3510</v>
      </c>
      <c r="H70" s="55" t="s">
        <v>33</v>
      </c>
      <c r="I70" s="55">
        <v>25.2</v>
      </c>
      <c r="J70" s="56">
        <v>1540</v>
      </c>
      <c r="K70" s="56" t="s">
        <v>34</v>
      </c>
      <c r="L70" s="56" t="s">
        <v>35</v>
      </c>
      <c r="M70" s="56" t="s">
        <v>35</v>
      </c>
      <c r="N70" s="63">
        <v>270</v>
      </c>
      <c r="O70" s="56">
        <v>5</v>
      </c>
      <c r="P70" s="56" t="s">
        <v>37</v>
      </c>
      <c r="Q70" s="56" t="s">
        <v>41</v>
      </c>
      <c r="R70" s="56" t="s">
        <v>35</v>
      </c>
      <c r="S70" s="56" t="s">
        <v>39</v>
      </c>
      <c r="T70" s="56" t="s">
        <v>42</v>
      </c>
      <c r="U70" s="56">
        <v>899</v>
      </c>
      <c r="V70" s="56"/>
      <c r="W70" s="136">
        <v>236</v>
      </c>
      <c r="X70" s="56">
        <v>128</v>
      </c>
      <c r="Y70" s="56">
        <v>6.38</v>
      </c>
      <c r="Z70" s="56">
        <v>319</v>
      </c>
      <c r="AA70" s="56">
        <v>13.5</v>
      </c>
      <c r="AB70" s="56">
        <v>531</v>
      </c>
      <c r="AC70" s="56">
        <v>67.8</v>
      </c>
    </row>
    <row r="71" spans="1:29">
      <c r="A71" s="11">
        <v>2</v>
      </c>
      <c r="B71" s="12" t="s">
        <v>64</v>
      </c>
      <c r="C71" s="13">
        <v>3</v>
      </c>
      <c r="D71" s="60">
        <v>44466</v>
      </c>
      <c r="E71" s="52">
        <v>5.91</v>
      </c>
      <c r="F71" s="56">
        <v>3680</v>
      </c>
      <c r="G71" s="54">
        <v>69</v>
      </c>
      <c r="H71" s="55" t="s">
        <v>33</v>
      </c>
      <c r="I71" s="55">
        <v>24.9</v>
      </c>
      <c r="J71" s="56">
        <v>1520</v>
      </c>
      <c r="K71" s="56" t="s">
        <v>34</v>
      </c>
      <c r="L71" s="56" t="s">
        <v>35</v>
      </c>
      <c r="M71" s="56" t="s">
        <v>35</v>
      </c>
      <c r="N71" s="63">
        <v>300</v>
      </c>
      <c r="O71" s="56">
        <v>2</v>
      </c>
      <c r="P71" s="56" t="s">
        <v>37</v>
      </c>
      <c r="Q71" s="56" t="s">
        <v>41</v>
      </c>
      <c r="R71" s="56">
        <v>1.8</v>
      </c>
      <c r="S71" s="56" t="s">
        <v>39</v>
      </c>
      <c r="T71" s="56" t="s">
        <v>42</v>
      </c>
      <c r="U71" s="56">
        <v>937</v>
      </c>
      <c r="V71" s="56"/>
      <c r="W71" s="136">
        <v>840</v>
      </c>
      <c r="X71" s="56">
        <v>129</v>
      </c>
      <c r="Y71" s="56">
        <v>6.37</v>
      </c>
      <c r="Z71" s="56">
        <v>316</v>
      </c>
      <c r="AA71" s="56">
        <v>11</v>
      </c>
      <c r="AB71" s="56">
        <v>554</v>
      </c>
      <c r="AC71" s="56">
        <v>70</v>
      </c>
    </row>
    <row r="72" spans="1:29">
      <c r="A72" s="11">
        <v>2</v>
      </c>
      <c r="B72" s="12" t="s">
        <v>64</v>
      </c>
      <c r="C72" s="13">
        <v>3</v>
      </c>
      <c r="D72" s="60">
        <v>44431</v>
      </c>
      <c r="E72" s="52">
        <v>6.15</v>
      </c>
      <c r="F72" s="56">
        <v>3530</v>
      </c>
      <c r="G72" s="54">
        <v>320</v>
      </c>
      <c r="H72" s="55" t="s">
        <v>33</v>
      </c>
      <c r="I72" s="55">
        <v>39.4</v>
      </c>
      <c r="J72" s="56">
        <v>2410</v>
      </c>
      <c r="K72" s="56" t="s">
        <v>34</v>
      </c>
      <c r="L72" s="56" t="s">
        <v>35</v>
      </c>
      <c r="M72" s="56" t="s">
        <v>35</v>
      </c>
      <c r="N72" s="63">
        <v>280</v>
      </c>
      <c r="O72" s="56">
        <v>2</v>
      </c>
      <c r="P72" s="56" t="s">
        <v>48</v>
      </c>
      <c r="Q72" s="56" t="s">
        <v>41</v>
      </c>
      <c r="R72" s="56" t="s">
        <v>46</v>
      </c>
      <c r="S72" s="56" t="s">
        <v>39</v>
      </c>
      <c r="T72" s="56" t="s">
        <v>42</v>
      </c>
      <c r="U72" s="56">
        <v>916</v>
      </c>
      <c r="V72" s="56"/>
      <c r="W72" s="136">
        <v>742</v>
      </c>
      <c r="X72" s="56">
        <v>127</v>
      </c>
      <c r="Y72" s="56">
        <v>6.29</v>
      </c>
      <c r="Z72" s="56">
        <v>337</v>
      </c>
      <c r="AA72" s="56">
        <v>13.3</v>
      </c>
      <c r="AB72" s="56">
        <v>529</v>
      </c>
      <c r="AC72" s="56">
        <v>76.2</v>
      </c>
    </row>
    <row r="73" spans="1:29">
      <c r="A73" s="11">
        <v>2</v>
      </c>
      <c r="B73" s="12" t="s">
        <v>64</v>
      </c>
      <c r="C73" s="13">
        <v>3</v>
      </c>
      <c r="D73" s="60">
        <v>44406</v>
      </c>
      <c r="E73" s="52">
        <v>6.11</v>
      </c>
      <c r="F73" s="56">
        <v>3720</v>
      </c>
      <c r="G73" s="54">
        <v>590</v>
      </c>
      <c r="H73" s="55" t="s">
        <v>33</v>
      </c>
      <c r="I73" s="55">
        <v>25.4</v>
      </c>
      <c r="J73" s="56">
        <v>1550</v>
      </c>
      <c r="K73" s="56" t="s">
        <v>34</v>
      </c>
      <c r="L73" s="56" t="s">
        <v>35</v>
      </c>
      <c r="M73" s="56" t="s">
        <v>36</v>
      </c>
      <c r="N73" s="63">
        <v>301</v>
      </c>
      <c r="O73" s="56">
        <v>0.6</v>
      </c>
      <c r="P73" s="56" t="s">
        <v>37</v>
      </c>
      <c r="Q73" s="56" t="s">
        <v>38</v>
      </c>
      <c r="R73" s="56" t="s">
        <v>46</v>
      </c>
      <c r="S73" s="56" t="s">
        <v>39</v>
      </c>
      <c r="T73" s="56" t="s">
        <v>40</v>
      </c>
      <c r="U73" s="56">
        <v>929</v>
      </c>
      <c r="V73" s="56"/>
      <c r="W73" s="136">
        <v>596</v>
      </c>
      <c r="X73" s="56">
        <v>121</v>
      </c>
      <c r="Y73" s="56">
        <v>6.49</v>
      </c>
      <c r="Z73" s="56">
        <v>340</v>
      </c>
      <c r="AA73" s="56">
        <v>15.1</v>
      </c>
      <c r="AB73" s="56">
        <v>536</v>
      </c>
      <c r="AC73" s="56">
        <v>77.400000000000006</v>
      </c>
    </row>
    <row r="74" spans="1:29">
      <c r="A74" s="11">
        <v>2</v>
      </c>
      <c r="B74" s="12" t="s">
        <v>64</v>
      </c>
      <c r="C74" s="13">
        <v>3</v>
      </c>
      <c r="D74" s="169" t="s">
        <v>3</v>
      </c>
      <c r="E74" s="52">
        <v>6.24</v>
      </c>
      <c r="F74" s="56">
        <v>3350</v>
      </c>
      <c r="G74" s="54">
        <v>2900</v>
      </c>
      <c r="H74" s="55" t="s">
        <v>33</v>
      </c>
      <c r="I74" s="55">
        <v>24.2</v>
      </c>
      <c r="J74" s="56">
        <v>1480</v>
      </c>
      <c r="K74" s="56" t="s">
        <v>34</v>
      </c>
      <c r="L74" s="56" t="s">
        <v>35</v>
      </c>
      <c r="M74" s="56" t="s">
        <v>36</v>
      </c>
      <c r="N74" s="63">
        <v>324</v>
      </c>
      <c r="O74" s="56">
        <v>0.5</v>
      </c>
      <c r="P74" s="56">
        <v>0.12</v>
      </c>
      <c r="Q74" s="56" t="s">
        <v>38</v>
      </c>
      <c r="R74" s="56" t="s">
        <v>35</v>
      </c>
      <c r="S74" s="56" t="s">
        <v>39</v>
      </c>
      <c r="T74" s="56" t="s">
        <v>40</v>
      </c>
      <c r="U74" s="56">
        <v>793</v>
      </c>
      <c r="V74" s="56"/>
      <c r="W74" s="136">
        <v>757</v>
      </c>
      <c r="X74" s="56">
        <v>108</v>
      </c>
      <c r="Y74" s="56">
        <v>5.93</v>
      </c>
      <c r="Z74" s="56">
        <v>324</v>
      </c>
      <c r="AA74" s="56">
        <v>30.5</v>
      </c>
      <c r="AB74" s="56">
        <v>464</v>
      </c>
      <c r="AC74" s="56">
        <v>62.5</v>
      </c>
    </row>
    <row r="75" spans="1:29">
      <c r="A75" s="34">
        <v>2</v>
      </c>
      <c r="B75" s="12" t="s">
        <v>64</v>
      </c>
      <c r="C75" s="13">
        <v>3</v>
      </c>
      <c r="D75" s="60">
        <v>44312</v>
      </c>
      <c r="E75" s="52">
        <v>6.36</v>
      </c>
      <c r="F75" s="56">
        <v>3070</v>
      </c>
      <c r="G75" s="54">
        <v>4000</v>
      </c>
      <c r="H75" s="55" t="s">
        <v>33</v>
      </c>
      <c r="I75" s="55">
        <v>19.7</v>
      </c>
      <c r="J75" s="56">
        <v>1200</v>
      </c>
      <c r="K75" s="56" t="s">
        <v>34</v>
      </c>
      <c r="L75" s="56" t="s">
        <v>35</v>
      </c>
      <c r="M75" s="56" t="s">
        <v>35</v>
      </c>
      <c r="N75" s="63">
        <v>300</v>
      </c>
      <c r="O75" s="56" t="s">
        <v>35</v>
      </c>
      <c r="P75" s="56">
        <v>1.93</v>
      </c>
      <c r="Q75" s="56" t="s">
        <v>41</v>
      </c>
      <c r="R75" s="56" t="s">
        <v>35</v>
      </c>
      <c r="S75" s="56" t="s">
        <v>39</v>
      </c>
      <c r="T75" s="56" t="s">
        <v>42</v>
      </c>
      <c r="U75" s="56">
        <v>732</v>
      </c>
      <c r="V75" s="56"/>
      <c r="W75" s="136">
        <v>933</v>
      </c>
      <c r="X75" s="56">
        <v>78.099999999999994</v>
      </c>
      <c r="Y75" s="56">
        <v>5.0599999999999996</v>
      </c>
      <c r="Z75" s="56">
        <v>306</v>
      </c>
      <c r="AA75" s="56">
        <v>34.200000000000003</v>
      </c>
      <c r="AB75" s="56">
        <v>428</v>
      </c>
      <c r="AC75" s="56">
        <v>57.5</v>
      </c>
    </row>
    <row r="76" spans="1:29" ht="15" thickBot="1">
      <c r="A76" s="15">
        <v>2</v>
      </c>
      <c r="B76" s="16" t="s">
        <v>64</v>
      </c>
      <c r="C76" s="17">
        <v>3</v>
      </c>
      <c r="D76" s="157">
        <v>44159</v>
      </c>
      <c r="E76" s="111">
        <v>7.18</v>
      </c>
      <c r="F76" s="115">
        <v>2280</v>
      </c>
      <c r="G76" s="113">
        <v>14.1</v>
      </c>
      <c r="H76" s="114" t="s">
        <v>33</v>
      </c>
      <c r="I76" s="115">
        <v>22</v>
      </c>
      <c r="J76" s="115">
        <v>1340</v>
      </c>
      <c r="K76" s="112" t="s">
        <v>34</v>
      </c>
      <c r="L76" s="115" t="s">
        <v>35</v>
      </c>
      <c r="M76" s="115" t="s">
        <v>36</v>
      </c>
      <c r="N76" s="116">
        <v>239</v>
      </c>
      <c r="O76" s="115">
        <v>1.4</v>
      </c>
      <c r="P76" s="115" t="s">
        <v>37</v>
      </c>
      <c r="Q76" s="115">
        <v>30</v>
      </c>
      <c r="R76" s="115">
        <v>2.6</v>
      </c>
      <c r="S76" s="115" t="s">
        <v>39</v>
      </c>
      <c r="T76" s="115" t="s">
        <v>40</v>
      </c>
      <c r="U76" s="115">
        <v>471</v>
      </c>
      <c r="V76" s="71"/>
      <c r="W76" s="118">
        <v>1.3</v>
      </c>
      <c r="X76" s="112">
        <v>14.2</v>
      </c>
      <c r="Y76" s="112">
        <v>2.6</v>
      </c>
      <c r="Z76" s="112">
        <v>330</v>
      </c>
      <c r="AA76" s="112">
        <v>4.2</v>
      </c>
      <c r="AB76" s="112">
        <v>256</v>
      </c>
      <c r="AC76" s="112">
        <v>49</v>
      </c>
    </row>
    <row r="77" spans="1:29">
      <c r="A77" s="150">
        <v>2</v>
      </c>
      <c r="B77" s="8" t="s">
        <v>64</v>
      </c>
      <c r="C77" s="9">
        <v>4</v>
      </c>
      <c r="D77" s="131">
        <v>45980</v>
      </c>
      <c r="E77" s="44">
        <v>6.69</v>
      </c>
      <c r="F77" s="48">
        <v>3270</v>
      </c>
      <c r="G77" s="216">
        <v>640</v>
      </c>
      <c r="H77" s="44" t="s">
        <v>33</v>
      </c>
      <c r="I77" s="44">
        <v>17.899999999999999</v>
      </c>
      <c r="J77" s="44">
        <v>1090</v>
      </c>
      <c r="K77" s="44" t="s">
        <v>34</v>
      </c>
      <c r="L77" s="44" t="s">
        <v>35</v>
      </c>
      <c r="M77" s="44" t="s">
        <v>36</v>
      </c>
      <c r="N77" s="132">
        <v>545</v>
      </c>
      <c r="O77" s="44" t="s">
        <v>36</v>
      </c>
      <c r="P77" s="44" t="s">
        <v>37</v>
      </c>
      <c r="Q77" s="44" t="s">
        <v>38</v>
      </c>
      <c r="R77" s="44">
        <v>7.7</v>
      </c>
      <c r="S77" s="44" t="s">
        <v>39</v>
      </c>
      <c r="T77" s="44" t="s">
        <v>40</v>
      </c>
      <c r="U77" s="44">
        <v>697</v>
      </c>
      <c r="V77" s="48"/>
      <c r="W77" s="133">
        <v>236</v>
      </c>
      <c r="X77" s="48">
        <v>58.3</v>
      </c>
      <c r="Y77" s="48">
        <v>4.33</v>
      </c>
      <c r="Z77" s="48">
        <v>270</v>
      </c>
      <c r="AA77" s="48">
        <v>4</v>
      </c>
      <c r="AB77" s="48">
        <v>408</v>
      </c>
      <c r="AC77" s="48">
        <v>54.8</v>
      </c>
    </row>
    <row r="78" spans="1:29">
      <c r="A78" s="33">
        <v>2</v>
      </c>
      <c r="B78" s="20" t="s">
        <v>64</v>
      </c>
      <c r="C78" s="21">
        <v>4</v>
      </c>
      <c r="D78" s="168">
        <v>45792</v>
      </c>
      <c r="E78" s="74">
        <v>6.53</v>
      </c>
      <c r="F78" s="78">
        <v>3050</v>
      </c>
      <c r="G78" s="82">
        <v>34</v>
      </c>
      <c r="H78" s="74" t="s">
        <v>33</v>
      </c>
      <c r="I78" s="74">
        <v>20.3</v>
      </c>
      <c r="J78" s="74">
        <v>1240</v>
      </c>
      <c r="K78" s="74" t="s">
        <v>34</v>
      </c>
      <c r="L78" s="74" t="s">
        <v>35</v>
      </c>
      <c r="M78" s="74" t="s">
        <v>36</v>
      </c>
      <c r="N78" s="120">
        <v>578</v>
      </c>
      <c r="O78" s="74">
        <v>1.9</v>
      </c>
      <c r="P78" s="74" t="s">
        <v>37</v>
      </c>
      <c r="Q78" s="74" t="s">
        <v>38</v>
      </c>
      <c r="R78" s="74">
        <v>9.1</v>
      </c>
      <c r="S78" s="74" t="s">
        <v>39</v>
      </c>
      <c r="T78" s="74" t="s">
        <v>40</v>
      </c>
      <c r="U78" s="74">
        <v>697</v>
      </c>
      <c r="V78" s="78"/>
      <c r="W78" s="200">
        <v>377</v>
      </c>
      <c r="X78" s="78">
        <v>48.4</v>
      </c>
      <c r="Y78" s="78">
        <v>4.34</v>
      </c>
      <c r="Z78" s="78">
        <v>271</v>
      </c>
      <c r="AA78" s="78">
        <v>4.3</v>
      </c>
      <c r="AB78" s="78">
        <v>409</v>
      </c>
      <c r="AC78" s="78">
        <v>54</v>
      </c>
    </row>
    <row r="79" spans="1:29">
      <c r="A79" s="19">
        <v>2</v>
      </c>
      <c r="B79" s="20" t="s">
        <v>64</v>
      </c>
      <c r="C79" s="21">
        <v>4</v>
      </c>
      <c r="D79" s="168">
        <v>45629</v>
      </c>
      <c r="E79" s="74">
        <v>6.67</v>
      </c>
      <c r="F79" s="78">
        <v>2720</v>
      </c>
      <c r="G79" s="82">
        <v>67</v>
      </c>
      <c r="H79" s="74" t="s">
        <v>33</v>
      </c>
      <c r="I79" s="74">
        <v>22</v>
      </c>
      <c r="J79" s="74">
        <v>1340</v>
      </c>
      <c r="K79" s="74" t="s">
        <v>34</v>
      </c>
      <c r="L79" s="74" t="s">
        <v>35</v>
      </c>
      <c r="M79" s="74" t="s">
        <v>35</v>
      </c>
      <c r="N79" s="120">
        <v>410</v>
      </c>
      <c r="O79" s="74" t="s">
        <v>35</v>
      </c>
      <c r="P79" s="74">
        <v>0.86</v>
      </c>
      <c r="Q79" s="74" t="s">
        <v>41</v>
      </c>
      <c r="R79" s="74">
        <v>5.4</v>
      </c>
      <c r="S79" s="74" t="s">
        <v>39</v>
      </c>
      <c r="T79" s="74" t="s">
        <v>42</v>
      </c>
      <c r="U79" s="78">
        <v>643</v>
      </c>
      <c r="V79" s="78"/>
      <c r="W79" s="200">
        <v>267</v>
      </c>
      <c r="X79" s="78">
        <v>50.3</v>
      </c>
      <c r="Y79" s="78">
        <v>4.05</v>
      </c>
      <c r="Z79" s="78">
        <v>252</v>
      </c>
      <c r="AA79" s="78">
        <v>3.1</v>
      </c>
      <c r="AB79" s="78">
        <v>378</v>
      </c>
      <c r="AC79" s="78">
        <v>49.6</v>
      </c>
    </row>
    <row r="80" spans="1:29">
      <c r="A80" s="11">
        <v>2</v>
      </c>
      <c r="B80" s="12" t="s">
        <v>64</v>
      </c>
      <c r="C80" s="13">
        <v>4</v>
      </c>
      <c r="D80" s="60">
        <v>45616</v>
      </c>
      <c r="E80" s="52">
        <v>6.7</v>
      </c>
      <c r="F80" s="56">
        <v>2700</v>
      </c>
      <c r="G80" s="54">
        <v>28</v>
      </c>
      <c r="H80" s="52" t="s">
        <v>33</v>
      </c>
      <c r="I80" s="52">
        <v>22.4</v>
      </c>
      <c r="J80" s="52">
        <v>1370</v>
      </c>
      <c r="K80" s="52" t="s">
        <v>34</v>
      </c>
      <c r="L80" s="52" t="s">
        <v>35</v>
      </c>
      <c r="M80" s="52" t="s">
        <v>35</v>
      </c>
      <c r="N80" s="63">
        <v>370</v>
      </c>
      <c r="O80" s="52" t="s">
        <v>35</v>
      </c>
      <c r="P80" s="52" t="s">
        <v>37</v>
      </c>
      <c r="Q80" s="52" t="s">
        <v>41</v>
      </c>
      <c r="R80" s="52">
        <v>4.4000000000000004</v>
      </c>
      <c r="S80" s="52">
        <v>0.01</v>
      </c>
      <c r="T80" s="52" t="s">
        <v>42</v>
      </c>
      <c r="U80" s="56">
        <v>643</v>
      </c>
      <c r="V80" s="56"/>
      <c r="W80" s="136">
        <v>96.1</v>
      </c>
      <c r="X80" s="56">
        <v>50.3</v>
      </c>
      <c r="Y80" s="56">
        <v>4.18</v>
      </c>
      <c r="Z80" s="56">
        <v>258</v>
      </c>
      <c r="AA80" s="56">
        <v>3.1</v>
      </c>
      <c r="AB80" s="56">
        <v>378</v>
      </c>
      <c r="AC80" s="56">
        <v>49.4</v>
      </c>
    </row>
    <row r="81" spans="1:29">
      <c r="A81" s="11">
        <v>2</v>
      </c>
      <c r="B81" s="12" t="s">
        <v>64</v>
      </c>
      <c r="C81" s="13">
        <v>4</v>
      </c>
      <c r="D81" s="60">
        <v>45567</v>
      </c>
      <c r="E81" s="52">
        <v>6.51</v>
      </c>
      <c r="F81" s="56">
        <v>3090</v>
      </c>
      <c r="G81" s="54">
        <v>24</v>
      </c>
      <c r="H81" s="52" t="s">
        <v>33</v>
      </c>
      <c r="I81" s="52">
        <v>21.8</v>
      </c>
      <c r="J81" s="52">
        <v>1330</v>
      </c>
      <c r="K81" s="52" t="s">
        <v>34</v>
      </c>
      <c r="L81" s="52" t="s">
        <v>35</v>
      </c>
      <c r="M81" s="52" t="s">
        <v>35</v>
      </c>
      <c r="N81" s="63">
        <v>410</v>
      </c>
      <c r="O81" s="52" t="s">
        <v>35</v>
      </c>
      <c r="P81" s="52" t="s">
        <v>37</v>
      </c>
      <c r="Q81" s="52" t="s">
        <v>41</v>
      </c>
      <c r="R81" s="52">
        <v>4.3</v>
      </c>
      <c r="S81" s="52" t="s">
        <v>39</v>
      </c>
      <c r="T81" s="52" t="s">
        <v>42</v>
      </c>
      <c r="U81" s="56">
        <v>671</v>
      </c>
      <c r="V81" s="56"/>
      <c r="W81" s="136" t="s">
        <v>42</v>
      </c>
      <c r="X81" s="56">
        <v>56.2</v>
      </c>
      <c r="Y81" s="56">
        <v>4.1100000000000003</v>
      </c>
      <c r="Z81" s="56">
        <v>259</v>
      </c>
      <c r="AA81" s="56">
        <v>3.5</v>
      </c>
      <c r="AB81" s="56">
        <v>391</v>
      </c>
      <c r="AC81" s="56">
        <v>53.6</v>
      </c>
    </row>
    <row r="82" spans="1:29">
      <c r="A82" s="11">
        <v>2</v>
      </c>
      <c r="B82" s="12" t="s">
        <v>64</v>
      </c>
      <c r="C82" s="13">
        <v>4</v>
      </c>
      <c r="D82" s="60">
        <v>45538</v>
      </c>
      <c r="E82" s="52">
        <v>6.65</v>
      </c>
      <c r="F82" s="56">
        <v>3590</v>
      </c>
      <c r="G82" s="54">
        <v>34</v>
      </c>
      <c r="H82" s="52" t="s">
        <v>33</v>
      </c>
      <c r="I82" s="52">
        <v>19.5</v>
      </c>
      <c r="J82" s="52">
        <v>1190</v>
      </c>
      <c r="K82" s="52" t="s">
        <v>34</v>
      </c>
      <c r="L82" s="52" t="s">
        <v>35</v>
      </c>
      <c r="M82" s="52" t="s">
        <v>35</v>
      </c>
      <c r="N82" s="63">
        <v>410</v>
      </c>
      <c r="O82" s="52" t="s">
        <v>35</v>
      </c>
      <c r="P82" s="52" t="s">
        <v>37</v>
      </c>
      <c r="Q82" s="52" t="s">
        <v>41</v>
      </c>
      <c r="R82" s="52">
        <v>4.4000000000000004</v>
      </c>
      <c r="S82" s="52" t="s">
        <v>39</v>
      </c>
      <c r="T82" s="52" t="s">
        <v>42</v>
      </c>
      <c r="U82" s="56">
        <v>675</v>
      </c>
      <c r="V82" s="56"/>
      <c r="W82" s="136">
        <v>297</v>
      </c>
      <c r="X82" s="56">
        <v>56.5</v>
      </c>
      <c r="Y82" s="56">
        <v>4.1399999999999997</v>
      </c>
      <c r="Z82" s="56">
        <v>266</v>
      </c>
      <c r="AA82" s="56">
        <v>3.7</v>
      </c>
      <c r="AB82" s="56">
        <v>396</v>
      </c>
      <c r="AC82" s="56">
        <v>52.5</v>
      </c>
    </row>
    <row r="83" spans="1:29">
      <c r="A83" s="11">
        <v>2</v>
      </c>
      <c r="B83" s="12" t="s">
        <v>64</v>
      </c>
      <c r="C83" s="13">
        <v>4</v>
      </c>
      <c r="D83" s="60">
        <v>45510</v>
      </c>
      <c r="E83" s="52">
        <v>6.69</v>
      </c>
      <c r="F83" s="56">
        <v>3130</v>
      </c>
      <c r="G83" s="54">
        <v>26</v>
      </c>
      <c r="H83" s="52" t="s">
        <v>33</v>
      </c>
      <c r="I83" s="52">
        <v>20.3</v>
      </c>
      <c r="J83" s="52">
        <v>1240</v>
      </c>
      <c r="K83" s="52" t="s">
        <v>34</v>
      </c>
      <c r="L83" s="52" t="s">
        <v>35</v>
      </c>
      <c r="M83" s="52" t="s">
        <v>35</v>
      </c>
      <c r="N83" s="63">
        <v>380</v>
      </c>
      <c r="O83" s="52" t="s">
        <v>35</v>
      </c>
      <c r="P83" s="52" t="s">
        <v>37</v>
      </c>
      <c r="Q83" s="52" t="s">
        <v>41</v>
      </c>
      <c r="R83" s="52">
        <v>5.3</v>
      </c>
      <c r="S83" s="52" t="s">
        <v>39</v>
      </c>
      <c r="T83" s="52" t="s">
        <v>42</v>
      </c>
      <c r="U83" s="56">
        <v>667</v>
      </c>
      <c r="V83" s="56"/>
      <c r="W83" s="136">
        <v>234</v>
      </c>
      <c r="X83" s="56">
        <v>55</v>
      </c>
      <c r="Y83" s="56">
        <v>4.0599999999999996</v>
      </c>
      <c r="Z83" s="56">
        <v>263</v>
      </c>
      <c r="AA83" s="56">
        <v>3.3</v>
      </c>
      <c r="AB83" s="56">
        <v>390</v>
      </c>
      <c r="AC83" s="56">
        <v>52.6</v>
      </c>
    </row>
    <row r="84" spans="1:29">
      <c r="A84" s="11">
        <v>2</v>
      </c>
      <c r="B84" s="12" t="s">
        <v>64</v>
      </c>
      <c r="C84" s="13">
        <v>4</v>
      </c>
      <c r="D84" s="60">
        <v>45454</v>
      </c>
      <c r="E84" s="52">
        <v>6.49</v>
      </c>
      <c r="F84" s="56">
        <v>2830</v>
      </c>
      <c r="G84" s="54">
        <v>26</v>
      </c>
      <c r="H84" s="52" t="s">
        <v>33</v>
      </c>
      <c r="I84" s="52">
        <v>21.1</v>
      </c>
      <c r="J84" s="52">
        <v>1290</v>
      </c>
      <c r="K84" s="52" t="s">
        <v>34</v>
      </c>
      <c r="L84" s="52" t="s">
        <v>35</v>
      </c>
      <c r="M84" s="52" t="s">
        <v>35</v>
      </c>
      <c r="N84" s="63">
        <v>370</v>
      </c>
      <c r="O84" s="52" t="s">
        <v>35</v>
      </c>
      <c r="P84" s="52" t="s">
        <v>37</v>
      </c>
      <c r="Q84" s="52" t="s">
        <v>41</v>
      </c>
      <c r="R84" s="52">
        <v>4.3</v>
      </c>
      <c r="S84" s="52" t="s">
        <v>39</v>
      </c>
      <c r="T84" s="52" t="s">
        <v>42</v>
      </c>
      <c r="U84" s="56">
        <v>647</v>
      </c>
      <c r="V84" s="56"/>
      <c r="W84" s="136">
        <v>283</v>
      </c>
      <c r="X84" s="56">
        <v>56.3</v>
      </c>
      <c r="Y84" s="56">
        <v>3.92</v>
      </c>
      <c r="Z84" s="56">
        <v>256</v>
      </c>
      <c r="AA84" s="56">
        <v>3.4</v>
      </c>
      <c r="AB84" s="56">
        <v>380</v>
      </c>
      <c r="AC84" s="56">
        <v>50.1</v>
      </c>
    </row>
    <row r="85" spans="1:29">
      <c r="A85" s="11">
        <v>2</v>
      </c>
      <c r="B85" s="12" t="s">
        <v>64</v>
      </c>
      <c r="C85" s="13">
        <v>4</v>
      </c>
      <c r="D85" s="60">
        <v>45426</v>
      </c>
      <c r="E85" s="52">
        <v>6.93</v>
      </c>
      <c r="F85" s="56">
        <v>3060</v>
      </c>
      <c r="G85" s="54">
        <v>80</v>
      </c>
      <c r="H85" s="52" t="s">
        <v>33</v>
      </c>
      <c r="I85" s="52">
        <v>21.9</v>
      </c>
      <c r="J85" s="52">
        <v>1340</v>
      </c>
      <c r="K85" s="52" t="s">
        <v>34</v>
      </c>
      <c r="L85" s="52" t="s">
        <v>35</v>
      </c>
      <c r="M85" s="52" t="s">
        <v>35</v>
      </c>
      <c r="N85" s="63">
        <v>460</v>
      </c>
      <c r="O85" s="52" t="s">
        <v>35</v>
      </c>
      <c r="P85" s="52" t="s">
        <v>37</v>
      </c>
      <c r="Q85" s="52" t="s">
        <v>41</v>
      </c>
      <c r="R85" s="52">
        <v>7.6</v>
      </c>
      <c r="S85" s="52">
        <v>0.02</v>
      </c>
      <c r="T85" s="52" t="s">
        <v>42</v>
      </c>
      <c r="U85" s="56">
        <v>688</v>
      </c>
      <c r="V85" s="56"/>
      <c r="W85" s="136">
        <v>350</v>
      </c>
      <c r="X85" s="56">
        <v>54.7</v>
      </c>
      <c r="Y85" s="56">
        <v>3.94</v>
      </c>
      <c r="Z85" s="56">
        <v>286</v>
      </c>
      <c r="AA85" s="56">
        <v>3.9</v>
      </c>
      <c r="AB85" s="56">
        <v>400</v>
      </c>
      <c r="AC85" s="56">
        <v>55.7</v>
      </c>
    </row>
    <row r="86" spans="1:29">
      <c r="A86" s="11">
        <v>2</v>
      </c>
      <c r="B86" s="12" t="s">
        <v>64</v>
      </c>
      <c r="C86" s="13">
        <v>4</v>
      </c>
      <c r="D86" s="60">
        <v>45384</v>
      </c>
      <c r="E86" s="52">
        <v>6.79</v>
      </c>
      <c r="F86" s="56">
        <v>3000</v>
      </c>
      <c r="G86" s="54">
        <v>15.7</v>
      </c>
      <c r="H86" s="52" t="s">
        <v>33</v>
      </c>
      <c r="I86" s="52">
        <v>24.2</v>
      </c>
      <c r="J86" s="52">
        <v>1480</v>
      </c>
      <c r="K86" s="52" t="s">
        <v>34</v>
      </c>
      <c r="L86" s="52" t="s">
        <v>35</v>
      </c>
      <c r="M86" s="52" t="s">
        <v>35</v>
      </c>
      <c r="N86" s="63">
        <v>360</v>
      </c>
      <c r="O86" s="52" t="s">
        <v>35</v>
      </c>
      <c r="P86" s="52" t="s">
        <v>37</v>
      </c>
      <c r="Q86" s="52" t="s">
        <v>41</v>
      </c>
      <c r="R86" s="52">
        <v>4</v>
      </c>
      <c r="S86" s="52">
        <v>0.03</v>
      </c>
      <c r="T86" s="52" t="s">
        <v>42</v>
      </c>
      <c r="U86" s="56">
        <v>693</v>
      </c>
      <c r="V86" s="56"/>
      <c r="W86" s="136">
        <v>409</v>
      </c>
      <c r="X86" s="56">
        <v>69.3</v>
      </c>
      <c r="Y86" s="56">
        <v>4.04</v>
      </c>
      <c r="Z86" s="56">
        <v>286</v>
      </c>
      <c r="AA86" s="56">
        <v>3.6</v>
      </c>
      <c r="AB86" s="56">
        <v>403</v>
      </c>
      <c r="AC86" s="56">
        <v>56.1</v>
      </c>
    </row>
    <row r="87" spans="1:29">
      <c r="A87" s="11">
        <v>2</v>
      </c>
      <c r="B87" s="12" t="s">
        <v>64</v>
      </c>
      <c r="C87" s="13">
        <v>4</v>
      </c>
      <c r="D87" s="60">
        <v>45357</v>
      </c>
      <c r="E87" s="52">
        <v>6.64</v>
      </c>
      <c r="F87" s="56">
        <v>2880</v>
      </c>
      <c r="G87" s="54">
        <v>38</v>
      </c>
      <c r="H87" s="52" t="s">
        <v>33</v>
      </c>
      <c r="I87" s="52">
        <v>22.9</v>
      </c>
      <c r="J87" s="52">
        <v>1400</v>
      </c>
      <c r="K87" s="52" t="s">
        <v>34</v>
      </c>
      <c r="L87" s="52" t="s">
        <v>35</v>
      </c>
      <c r="M87" s="52" t="s">
        <v>35</v>
      </c>
      <c r="N87" s="63">
        <v>350</v>
      </c>
      <c r="O87" s="52" t="s">
        <v>35</v>
      </c>
      <c r="P87" s="52" t="s">
        <v>37</v>
      </c>
      <c r="Q87" s="52" t="s">
        <v>41</v>
      </c>
      <c r="R87" s="52">
        <v>3.5</v>
      </c>
      <c r="S87" s="52" t="s">
        <v>39</v>
      </c>
      <c r="T87" s="52" t="s">
        <v>42</v>
      </c>
      <c r="U87" s="56">
        <v>649</v>
      </c>
      <c r="V87" s="56"/>
      <c r="W87" s="136">
        <v>160</v>
      </c>
      <c r="X87" s="56">
        <v>55</v>
      </c>
      <c r="Y87" s="56">
        <v>4.01</v>
      </c>
      <c r="Z87" s="56">
        <v>252</v>
      </c>
      <c r="AA87" s="56">
        <v>3.7</v>
      </c>
      <c r="AB87" s="56">
        <v>381</v>
      </c>
      <c r="AC87" s="56">
        <v>50.4</v>
      </c>
    </row>
    <row r="88" spans="1:29">
      <c r="A88" s="34">
        <v>2</v>
      </c>
      <c r="B88" s="12" t="s">
        <v>64</v>
      </c>
      <c r="C88" s="13">
        <v>4</v>
      </c>
      <c r="D88" s="60">
        <v>45328</v>
      </c>
      <c r="E88" s="52">
        <v>6.77</v>
      </c>
      <c r="F88" s="56">
        <v>2860</v>
      </c>
      <c r="G88" s="54">
        <v>35</v>
      </c>
      <c r="H88" s="55" t="s">
        <v>33</v>
      </c>
      <c r="I88" s="55">
        <v>21.8</v>
      </c>
      <c r="J88" s="56">
        <v>1330</v>
      </c>
      <c r="K88" s="56" t="s">
        <v>34</v>
      </c>
      <c r="L88" s="56" t="s">
        <v>35</v>
      </c>
      <c r="M88" s="56" t="s">
        <v>35</v>
      </c>
      <c r="N88" s="63">
        <v>360</v>
      </c>
      <c r="O88" s="56" t="s">
        <v>35</v>
      </c>
      <c r="P88" s="56" t="s">
        <v>37</v>
      </c>
      <c r="Q88" s="56" t="s">
        <v>41</v>
      </c>
      <c r="R88" s="56">
        <v>4.5</v>
      </c>
      <c r="S88" s="56">
        <v>0.01</v>
      </c>
      <c r="T88" s="56" t="s">
        <v>42</v>
      </c>
      <c r="U88" s="56">
        <v>647</v>
      </c>
      <c r="V88" s="56"/>
      <c r="W88" s="136">
        <v>231</v>
      </c>
      <c r="X88" s="56">
        <v>55.2</v>
      </c>
      <c r="Y88" s="56">
        <v>4.03</v>
      </c>
      <c r="Z88" s="56">
        <v>242</v>
      </c>
      <c r="AA88" s="56">
        <v>3.7</v>
      </c>
      <c r="AB88" s="56">
        <v>381</v>
      </c>
      <c r="AC88" s="56">
        <v>49.4</v>
      </c>
    </row>
    <row r="89" spans="1:29">
      <c r="A89" s="11">
        <v>2</v>
      </c>
      <c r="B89" s="12" t="s">
        <v>64</v>
      </c>
      <c r="C89" s="13">
        <v>4</v>
      </c>
      <c r="D89" s="60">
        <v>45300</v>
      </c>
      <c r="E89" s="52">
        <v>6.86</v>
      </c>
      <c r="F89" s="56">
        <v>2800</v>
      </c>
      <c r="G89" s="217">
        <v>27</v>
      </c>
      <c r="H89" s="52" t="s">
        <v>33</v>
      </c>
      <c r="I89" s="52">
        <v>22.5</v>
      </c>
      <c r="J89" s="52">
        <v>1370</v>
      </c>
      <c r="K89" s="52" t="s">
        <v>34</v>
      </c>
      <c r="L89" s="52" t="s">
        <v>35</v>
      </c>
      <c r="M89" s="52" t="s">
        <v>35</v>
      </c>
      <c r="N89" s="63">
        <v>400</v>
      </c>
      <c r="O89" s="52" t="s">
        <v>35</v>
      </c>
      <c r="P89" s="52" t="s">
        <v>37</v>
      </c>
      <c r="Q89" s="52" t="s">
        <v>41</v>
      </c>
      <c r="R89" s="52">
        <v>4.5</v>
      </c>
      <c r="S89" s="52" t="s">
        <v>39</v>
      </c>
      <c r="T89" s="52" t="s">
        <v>42</v>
      </c>
      <c r="U89" s="52">
        <v>671</v>
      </c>
      <c r="V89" s="56"/>
      <c r="W89" s="136">
        <v>298</v>
      </c>
      <c r="X89" s="56">
        <v>59.8</v>
      </c>
      <c r="Y89" s="56">
        <v>4.38</v>
      </c>
      <c r="Z89" s="56">
        <v>254</v>
      </c>
      <c r="AA89" s="56">
        <v>3.8</v>
      </c>
      <c r="AB89" s="56">
        <v>395</v>
      </c>
      <c r="AC89" s="56">
        <v>51.2</v>
      </c>
    </row>
    <row r="90" spans="1:29">
      <c r="A90" s="34">
        <v>2</v>
      </c>
      <c r="B90" s="12" t="s">
        <v>64</v>
      </c>
      <c r="C90" s="13">
        <v>4</v>
      </c>
      <c r="D90" s="60">
        <v>45264</v>
      </c>
      <c r="E90" s="52">
        <v>6.6</v>
      </c>
      <c r="F90" s="56">
        <v>3960</v>
      </c>
      <c r="G90" s="84">
        <v>38</v>
      </c>
      <c r="H90" s="52" t="s">
        <v>33</v>
      </c>
      <c r="I90" s="52">
        <v>22.1</v>
      </c>
      <c r="J90" s="56">
        <v>1350</v>
      </c>
      <c r="K90" s="52" t="s">
        <v>34</v>
      </c>
      <c r="L90" s="52" t="s">
        <v>35</v>
      </c>
      <c r="M90" s="52" t="s">
        <v>35</v>
      </c>
      <c r="N90" s="63">
        <v>360</v>
      </c>
      <c r="O90" s="52" t="s">
        <v>35</v>
      </c>
      <c r="P90" s="52" t="s">
        <v>37</v>
      </c>
      <c r="Q90" s="52" t="s">
        <v>41</v>
      </c>
      <c r="R90" s="52">
        <v>4.0999999999999996</v>
      </c>
      <c r="S90" s="52" t="s">
        <v>39</v>
      </c>
      <c r="T90" s="52" t="s">
        <v>42</v>
      </c>
      <c r="U90" s="52">
        <v>675</v>
      </c>
      <c r="V90" s="56"/>
      <c r="W90" s="136">
        <v>275</v>
      </c>
      <c r="X90" s="56">
        <v>60.5</v>
      </c>
      <c r="Y90" s="56">
        <v>4.49</v>
      </c>
      <c r="Z90" s="56">
        <v>254</v>
      </c>
      <c r="AA90" s="56">
        <v>3.9</v>
      </c>
      <c r="AB90" s="56">
        <v>398</v>
      </c>
      <c r="AC90" s="56">
        <v>51.1</v>
      </c>
    </row>
    <row r="91" spans="1:29">
      <c r="A91" s="34">
        <v>2</v>
      </c>
      <c r="B91" s="12" t="s">
        <v>64</v>
      </c>
      <c r="C91" s="13">
        <v>4</v>
      </c>
      <c r="D91" s="60">
        <v>45244</v>
      </c>
      <c r="E91" s="52">
        <v>6.65</v>
      </c>
      <c r="F91" s="56">
        <v>2600</v>
      </c>
      <c r="G91" s="84">
        <v>23</v>
      </c>
      <c r="H91" s="52" t="s">
        <v>33</v>
      </c>
      <c r="I91" s="52">
        <v>21.9</v>
      </c>
      <c r="J91" s="56">
        <v>1340</v>
      </c>
      <c r="K91" s="52" t="s">
        <v>34</v>
      </c>
      <c r="L91" s="52" t="s">
        <v>35</v>
      </c>
      <c r="M91" s="52" t="s">
        <v>35</v>
      </c>
      <c r="N91" s="63">
        <v>390</v>
      </c>
      <c r="O91" s="52" t="s">
        <v>35</v>
      </c>
      <c r="P91" s="52" t="s">
        <v>37</v>
      </c>
      <c r="Q91" s="52" t="s">
        <v>41</v>
      </c>
      <c r="R91" s="52">
        <v>4.5999999999999996</v>
      </c>
      <c r="S91" s="52" t="s">
        <v>39</v>
      </c>
      <c r="T91" s="52" t="s">
        <v>42</v>
      </c>
      <c r="U91" s="52">
        <v>655</v>
      </c>
      <c r="V91" s="56"/>
      <c r="W91" s="136">
        <v>195</v>
      </c>
      <c r="X91" s="56">
        <v>54.5</v>
      </c>
      <c r="Y91" s="56">
        <v>4.3899999999999997</v>
      </c>
      <c r="Z91" s="56">
        <v>248</v>
      </c>
      <c r="AA91" s="56">
        <v>6.7</v>
      </c>
      <c r="AB91" s="56">
        <v>386</v>
      </c>
      <c r="AC91" s="56">
        <v>49.7</v>
      </c>
    </row>
    <row r="92" spans="1:29">
      <c r="A92" s="34">
        <v>2</v>
      </c>
      <c r="B92" s="12" t="s">
        <v>64</v>
      </c>
      <c r="C92" s="13">
        <v>4</v>
      </c>
      <c r="D92" s="60">
        <v>45209</v>
      </c>
      <c r="E92" s="52">
        <v>6.66</v>
      </c>
      <c r="F92" s="56">
        <v>2930</v>
      </c>
      <c r="G92" s="84">
        <v>42</v>
      </c>
      <c r="H92" s="52" t="s">
        <v>33</v>
      </c>
      <c r="I92" s="52">
        <v>22.3</v>
      </c>
      <c r="J92" s="56">
        <v>1360</v>
      </c>
      <c r="K92" s="52" t="s">
        <v>34</v>
      </c>
      <c r="L92" s="52" t="s">
        <v>35</v>
      </c>
      <c r="M92" s="52" t="s">
        <v>35</v>
      </c>
      <c r="N92" s="63">
        <v>420</v>
      </c>
      <c r="O92" s="52" t="s">
        <v>35</v>
      </c>
      <c r="P92" s="52" t="s">
        <v>37</v>
      </c>
      <c r="Q92" s="52" t="s">
        <v>41</v>
      </c>
      <c r="R92" s="52">
        <v>4.2</v>
      </c>
      <c r="S92" s="52" t="s">
        <v>39</v>
      </c>
      <c r="T92" s="52" t="s">
        <v>42</v>
      </c>
      <c r="U92" s="52">
        <v>647</v>
      </c>
      <c r="V92" s="56"/>
      <c r="W92" s="136">
        <v>149</v>
      </c>
      <c r="X92" s="56">
        <v>58.7</v>
      </c>
      <c r="Y92" s="56">
        <v>4.2300000000000004</v>
      </c>
      <c r="Z92" s="56">
        <v>246</v>
      </c>
      <c r="AA92" s="56">
        <v>3.7</v>
      </c>
      <c r="AB92" s="56">
        <v>382</v>
      </c>
      <c r="AC92" s="56">
        <v>48.6</v>
      </c>
    </row>
    <row r="93" spans="1:29">
      <c r="A93" s="34">
        <v>2</v>
      </c>
      <c r="B93" s="12" t="s">
        <v>64</v>
      </c>
      <c r="C93" s="13">
        <v>4</v>
      </c>
      <c r="D93" s="60">
        <v>45160</v>
      </c>
      <c r="E93" s="52">
        <v>6.66</v>
      </c>
      <c r="F93" s="56">
        <v>2840</v>
      </c>
      <c r="G93" s="84">
        <v>24</v>
      </c>
      <c r="H93" s="52" t="s">
        <v>33</v>
      </c>
      <c r="I93" s="52">
        <v>22.9</v>
      </c>
      <c r="J93" s="56">
        <v>1400</v>
      </c>
      <c r="K93" s="52" t="s">
        <v>34</v>
      </c>
      <c r="L93" s="52" t="s">
        <v>35</v>
      </c>
      <c r="M93" s="52" t="s">
        <v>36</v>
      </c>
      <c r="N93" s="63">
        <v>342</v>
      </c>
      <c r="O93" s="52" t="s">
        <v>36</v>
      </c>
      <c r="P93" s="52" t="s">
        <v>37</v>
      </c>
      <c r="Q93" s="56">
        <v>30</v>
      </c>
      <c r="R93" s="52">
        <v>4.2</v>
      </c>
      <c r="S93" s="52" t="s">
        <v>39</v>
      </c>
      <c r="T93" s="52" t="s">
        <v>40</v>
      </c>
      <c r="U93" s="52">
        <v>637</v>
      </c>
      <c r="V93" s="56"/>
      <c r="W93" s="136" t="s">
        <v>36</v>
      </c>
      <c r="X93" s="56">
        <v>68.599999999999994</v>
      </c>
      <c r="Y93" s="56">
        <v>4.29</v>
      </c>
      <c r="Z93" s="56">
        <v>278</v>
      </c>
      <c r="AA93" s="56">
        <v>7.2</v>
      </c>
      <c r="AB93" s="56">
        <v>372</v>
      </c>
      <c r="AC93" s="56">
        <v>50.6</v>
      </c>
    </row>
    <row r="94" spans="1:29">
      <c r="A94" s="34">
        <v>2</v>
      </c>
      <c r="B94" s="12" t="s">
        <v>64</v>
      </c>
      <c r="C94" s="13">
        <v>4</v>
      </c>
      <c r="D94" s="60">
        <v>45118</v>
      </c>
      <c r="E94" s="52">
        <v>6.6</v>
      </c>
      <c r="F94" s="56">
        <v>3830</v>
      </c>
      <c r="G94" s="54">
        <v>37</v>
      </c>
      <c r="H94" s="55" t="s">
        <v>33</v>
      </c>
      <c r="I94" s="55">
        <v>23.7</v>
      </c>
      <c r="J94" s="56">
        <v>1450</v>
      </c>
      <c r="K94" s="56" t="s">
        <v>34</v>
      </c>
      <c r="L94" s="56" t="s">
        <v>35</v>
      </c>
      <c r="M94" s="56" t="s">
        <v>35</v>
      </c>
      <c r="N94" s="63">
        <v>400</v>
      </c>
      <c r="O94" s="56" t="s">
        <v>35</v>
      </c>
      <c r="P94" s="56" t="s">
        <v>37</v>
      </c>
      <c r="Q94" s="56" t="s">
        <v>41</v>
      </c>
      <c r="R94" s="56">
        <v>4.3</v>
      </c>
      <c r="S94" s="56" t="s">
        <v>39</v>
      </c>
      <c r="T94" s="56" t="s">
        <v>42</v>
      </c>
      <c r="U94" s="56">
        <v>660</v>
      </c>
      <c r="V94" s="56"/>
      <c r="W94" s="136">
        <v>315</v>
      </c>
      <c r="X94" s="56">
        <v>78.099999999999994</v>
      </c>
      <c r="Y94" s="56">
        <v>4.53</v>
      </c>
      <c r="Z94" s="56">
        <v>273</v>
      </c>
      <c r="AA94" s="56">
        <v>6.2</v>
      </c>
      <c r="AB94" s="56">
        <v>386</v>
      </c>
      <c r="AC94" s="56">
        <v>52.1</v>
      </c>
    </row>
    <row r="95" spans="1:29">
      <c r="A95" s="34">
        <v>2</v>
      </c>
      <c r="B95" s="12" t="s">
        <v>64</v>
      </c>
      <c r="C95" s="13">
        <v>4</v>
      </c>
      <c r="D95" s="60">
        <v>45097</v>
      </c>
      <c r="E95" s="52">
        <v>6.65</v>
      </c>
      <c r="F95" s="56">
        <v>2900</v>
      </c>
      <c r="G95" s="54">
        <v>33</v>
      </c>
      <c r="H95" s="55" t="s">
        <v>33</v>
      </c>
      <c r="I95" s="55">
        <v>24</v>
      </c>
      <c r="J95" s="56">
        <v>1460</v>
      </c>
      <c r="K95" s="56" t="s">
        <v>34</v>
      </c>
      <c r="L95" s="56" t="s">
        <v>35</v>
      </c>
      <c r="M95" s="56" t="s">
        <v>35</v>
      </c>
      <c r="N95" s="63">
        <v>340</v>
      </c>
      <c r="O95" s="56" t="s">
        <v>35</v>
      </c>
      <c r="P95" s="56" t="s">
        <v>37</v>
      </c>
      <c r="Q95" s="56" t="s">
        <v>41</v>
      </c>
      <c r="R95" s="56">
        <v>5.6</v>
      </c>
      <c r="S95" s="56" t="s">
        <v>39</v>
      </c>
      <c r="T95" s="56" t="s">
        <v>42</v>
      </c>
      <c r="U95" s="56">
        <v>649</v>
      </c>
      <c r="V95" s="56"/>
      <c r="W95" s="136">
        <v>282</v>
      </c>
      <c r="X95" s="56">
        <v>78</v>
      </c>
      <c r="Y95" s="56">
        <v>4.4000000000000004</v>
      </c>
      <c r="Z95" s="56">
        <v>281</v>
      </c>
      <c r="AA95" s="56">
        <v>4.9000000000000004</v>
      </c>
      <c r="AB95" s="56">
        <v>379</v>
      </c>
      <c r="AC95" s="56">
        <v>51.3</v>
      </c>
    </row>
    <row r="96" spans="1:29">
      <c r="A96" s="34">
        <v>2</v>
      </c>
      <c r="B96" s="12" t="s">
        <v>64</v>
      </c>
      <c r="C96" s="13">
        <v>4</v>
      </c>
      <c r="D96" s="60">
        <v>45062</v>
      </c>
      <c r="E96" s="52">
        <v>6.72</v>
      </c>
      <c r="F96" s="56">
        <v>2810</v>
      </c>
      <c r="G96" s="54">
        <v>18</v>
      </c>
      <c r="H96" s="55" t="s">
        <v>33</v>
      </c>
      <c r="I96" s="56">
        <v>23.8</v>
      </c>
      <c r="J96" s="56">
        <v>1450</v>
      </c>
      <c r="K96" s="53" t="s">
        <v>34</v>
      </c>
      <c r="L96" s="56" t="s">
        <v>35</v>
      </c>
      <c r="M96" s="56" t="s">
        <v>35</v>
      </c>
      <c r="N96" s="63">
        <v>350</v>
      </c>
      <c r="O96" s="56" t="s">
        <v>35</v>
      </c>
      <c r="P96" s="56" t="s">
        <v>37</v>
      </c>
      <c r="Q96" s="56" t="s">
        <v>41</v>
      </c>
      <c r="R96" s="56">
        <v>4.3</v>
      </c>
      <c r="S96" s="56" t="s">
        <v>39</v>
      </c>
      <c r="T96" s="56" t="s">
        <v>42</v>
      </c>
      <c r="U96" s="56">
        <v>669</v>
      </c>
      <c r="V96" s="87"/>
      <c r="W96" s="65">
        <v>216</v>
      </c>
      <c r="X96" s="53">
        <v>73</v>
      </c>
      <c r="Y96" s="53">
        <v>4.6500000000000004</v>
      </c>
      <c r="Z96" s="53">
        <v>267</v>
      </c>
      <c r="AA96" s="53">
        <v>3.6</v>
      </c>
      <c r="AB96" s="53">
        <v>394</v>
      </c>
      <c r="AC96" s="53">
        <v>50.9</v>
      </c>
    </row>
    <row r="97" spans="1:29">
      <c r="A97" s="11">
        <v>2</v>
      </c>
      <c r="B97" s="12" t="s">
        <v>64</v>
      </c>
      <c r="C97" s="13">
        <v>4</v>
      </c>
      <c r="D97" s="60">
        <v>44978</v>
      </c>
      <c r="E97" s="52">
        <v>6.56</v>
      </c>
      <c r="F97" s="56">
        <v>2910</v>
      </c>
      <c r="G97" s="54">
        <v>24</v>
      </c>
      <c r="H97" s="55" t="s">
        <v>33</v>
      </c>
      <c r="I97" s="55">
        <v>24.2</v>
      </c>
      <c r="J97" s="56">
        <v>1480</v>
      </c>
      <c r="K97" s="56" t="s">
        <v>34</v>
      </c>
      <c r="L97" s="56" t="s">
        <v>35</v>
      </c>
      <c r="M97" s="56" t="s">
        <v>35</v>
      </c>
      <c r="N97" s="63">
        <v>330</v>
      </c>
      <c r="O97" s="56" t="s">
        <v>35</v>
      </c>
      <c r="P97" s="56" t="s">
        <v>37</v>
      </c>
      <c r="Q97" s="56" t="s">
        <v>41</v>
      </c>
      <c r="R97" s="56">
        <v>4.8</v>
      </c>
      <c r="S97" s="56" t="s">
        <v>39</v>
      </c>
      <c r="T97" s="56" t="s">
        <v>42</v>
      </c>
      <c r="U97" s="56">
        <v>699</v>
      </c>
      <c r="V97" s="56"/>
      <c r="W97" s="136">
        <v>198</v>
      </c>
      <c r="X97" s="56">
        <v>74.400000000000006</v>
      </c>
      <c r="Y97" s="56">
        <v>4.41</v>
      </c>
      <c r="Z97" s="56">
        <v>280</v>
      </c>
      <c r="AA97" s="56">
        <v>3.7</v>
      </c>
      <c r="AB97" s="56">
        <v>413</v>
      </c>
      <c r="AC97" s="56">
        <v>52.5</v>
      </c>
    </row>
    <row r="98" spans="1:29">
      <c r="A98" s="11">
        <v>2</v>
      </c>
      <c r="B98" s="12" t="s">
        <v>64</v>
      </c>
      <c r="C98" s="13">
        <v>4</v>
      </c>
      <c r="D98" s="60">
        <v>44950</v>
      </c>
      <c r="E98" s="52">
        <v>6.62</v>
      </c>
      <c r="F98" s="56">
        <v>3070</v>
      </c>
      <c r="G98" s="54">
        <v>40</v>
      </c>
      <c r="H98" s="55" t="s">
        <v>33</v>
      </c>
      <c r="I98" s="55">
        <v>24.6</v>
      </c>
      <c r="J98" s="56">
        <v>1500</v>
      </c>
      <c r="K98" s="56" t="s">
        <v>34</v>
      </c>
      <c r="L98" s="56" t="s">
        <v>35</v>
      </c>
      <c r="M98" s="56" t="s">
        <v>35</v>
      </c>
      <c r="N98" s="63">
        <v>350</v>
      </c>
      <c r="O98" s="56" t="s">
        <v>35</v>
      </c>
      <c r="P98" s="56" t="s">
        <v>37</v>
      </c>
      <c r="Q98" s="56" t="s">
        <v>41</v>
      </c>
      <c r="R98" s="56">
        <v>4.4000000000000004</v>
      </c>
      <c r="S98" s="56" t="s">
        <v>39</v>
      </c>
      <c r="T98" s="56" t="s">
        <v>42</v>
      </c>
      <c r="U98" s="56">
        <v>696</v>
      </c>
      <c r="V98" s="56"/>
      <c r="W98" s="136">
        <v>154</v>
      </c>
      <c r="X98" s="56">
        <v>78.599999999999994</v>
      </c>
      <c r="Y98" s="56">
        <v>4.5199999999999996</v>
      </c>
      <c r="Z98" s="56">
        <v>286</v>
      </c>
      <c r="AA98" s="56">
        <v>3.6</v>
      </c>
      <c r="AB98" s="56">
        <v>411</v>
      </c>
      <c r="AC98" s="56">
        <v>52.5</v>
      </c>
    </row>
    <row r="99" spans="1:29">
      <c r="A99" s="11">
        <v>2</v>
      </c>
      <c r="B99" s="12" t="s">
        <v>64</v>
      </c>
      <c r="C99" s="13">
        <v>4</v>
      </c>
      <c r="D99" s="60">
        <v>44909</v>
      </c>
      <c r="E99" s="52">
        <v>6.61</v>
      </c>
      <c r="F99" s="56">
        <v>3070</v>
      </c>
      <c r="G99" s="54">
        <v>53</v>
      </c>
      <c r="H99" s="55" t="s">
        <v>33</v>
      </c>
      <c r="I99" s="55">
        <v>26.5</v>
      </c>
      <c r="J99" s="56">
        <v>1620</v>
      </c>
      <c r="K99" s="56" t="s">
        <v>34</v>
      </c>
      <c r="L99" s="56" t="s">
        <v>35</v>
      </c>
      <c r="M99" s="56" t="s">
        <v>35</v>
      </c>
      <c r="N99" s="63">
        <v>330</v>
      </c>
      <c r="O99" s="56" t="s">
        <v>35</v>
      </c>
      <c r="P99" s="56" t="s">
        <v>37</v>
      </c>
      <c r="Q99" s="56" t="s">
        <v>41</v>
      </c>
      <c r="R99" s="56">
        <v>4</v>
      </c>
      <c r="S99" s="56" t="s">
        <v>39</v>
      </c>
      <c r="T99" s="56" t="s">
        <v>42</v>
      </c>
      <c r="U99" s="56">
        <v>789</v>
      </c>
      <c r="V99" s="56"/>
      <c r="W99" s="136">
        <v>447</v>
      </c>
      <c r="X99" s="56">
        <v>67.5</v>
      </c>
      <c r="Y99" s="56">
        <v>4.99</v>
      </c>
      <c r="Z99" s="56">
        <v>286</v>
      </c>
      <c r="AA99" s="56">
        <v>3.7</v>
      </c>
      <c r="AB99" s="56">
        <v>469</v>
      </c>
      <c r="AC99" s="56">
        <v>57.7</v>
      </c>
    </row>
    <row r="100" spans="1:29">
      <c r="A100" s="11">
        <v>2</v>
      </c>
      <c r="B100" s="12" t="s">
        <v>64</v>
      </c>
      <c r="C100" s="13">
        <v>4</v>
      </c>
      <c r="D100" s="60">
        <v>44880</v>
      </c>
      <c r="E100" s="52">
        <v>6.54</v>
      </c>
      <c r="F100" s="56">
        <v>3030</v>
      </c>
      <c r="G100" s="54">
        <v>43</v>
      </c>
      <c r="H100" s="55" t="s">
        <v>33</v>
      </c>
      <c r="I100" s="55">
        <v>24.8</v>
      </c>
      <c r="J100" s="56">
        <v>1510</v>
      </c>
      <c r="K100" s="56" t="s">
        <v>34</v>
      </c>
      <c r="L100" s="56" t="s">
        <v>35</v>
      </c>
      <c r="M100" s="56" t="s">
        <v>40</v>
      </c>
      <c r="N100" s="63">
        <v>350</v>
      </c>
      <c r="O100" s="56" t="s">
        <v>40</v>
      </c>
      <c r="P100" s="56" t="s">
        <v>37</v>
      </c>
      <c r="Q100" s="56" t="s">
        <v>49</v>
      </c>
      <c r="R100" s="56">
        <v>3.5</v>
      </c>
      <c r="S100" s="56" t="s">
        <v>39</v>
      </c>
      <c r="T100" s="56" t="s">
        <v>50</v>
      </c>
      <c r="U100" s="56">
        <v>777</v>
      </c>
      <c r="V100" s="56"/>
      <c r="W100" s="136">
        <v>389</v>
      </c>
      <c r="X100" s="56">
        <v>112</v>
      </c>
      <c r="Y100" s="56">
        <v>5.81</v>
      </c>
      <c r="Z100" s="56">
        <v>276</v>
      </c>
      <c r="AA100" s="56">
        <v>5.6</v>
      </c>
      <c r="AB100" s="56">
        <v>458</v>
      </c>
      <c r="AC100" s="56">
        <v>59.1</v>
      </c>
    </row>
    <row r="101" spans="1:29">
      <c r="A101" s="11">
        <v>2</v>
      </c>
      <c r="B101" s="12" t="s">
        <v>64</v>
      </c>
      <c r="C101" s="13">
        <v>4</v>
      </c>
      <c r="D101" s="60">
        <v>44852</v>
      </c>
      <c r="E101" s="52">
        <v>6.56</v>
      </c>
      <c r="F101" s="56">
        <v>3430</v>
      </c>
      <c r="G101" s="54">
        <v>3840</v>
      </c>
      <c r="H101" s="55" t="s">
        <v>33</v>
      </c>
      <c r="I101" s="55">
        <v>25.2</v>
      </c>
      <c r="J101" s="56">
        <v>1540</v>
      </c>
      <c r="K101" s="56" t="s">
        <v>34</v>
      </c>
      <c r="L101" s="56" t="s">
        <v>35</v>
      </c>
      <c r="M101" s="56" t="s">
        <v>35</v>
      </c>
      <c r="N101" s="63">
        <v>380</v>
      </c>
      <c r="O101" s="56" t="s">
        <v>35</v>
      </c>
      <c r="P101" s="56" t="s">
        <v>37</v>
      </c>
      <c r="Q101" s="56" t="s">
        <v>41</v>
      </c>
      <c r="R101" s="56">
        <v>3.7</v>
      </c>
      <c r="S101" s="56" t="s">
        <v>39</v>
      </c>
      <c r="T101" s="56" t="s">
        <v>42</v>
      </c>
      <c r="U101" s="56">
        <v>783</v>
      </c>
      <c r="V101" s="56"/>
      <c r="W101" s="136">
        <v>435</v>
      </c>
      <c r="X101" s="56">
        <v>102</v>
      </c>
      <c r="Y101" s="56">
        <v>5.56</v>
      </c>
      <c r="Z101" s="56">
        <v>290</v>
      </c>
      <c r="AA101" s="56">
        <v>5.0999999999999996</v>
      </c>
      <c r="AB101" s="56">
        <v>463</v>
      </c>
      <c r="AC101" s="56">
        <v>58.6</v>
      </c>
    </row>
    <row r="102" spans="1:29">
      <c r="A102" s="11">
        <v>2</v>
      </c>
      <c r="B102" s="12" t="s">
        <v>64</v>
      </c>
      <c r="C102" s="13">
        <v>4</v>
      </c>
      <c r="D102" s="60">
        <v>44796</v>
      </c>
      <c r="E102" s="52">
        <v>6.38</v>
      </c>
      <c r="F102" s="56">
        <v>3740</v>
      </c>
      <c r="G102" s="54">
        <v>65</v>
      </c>
      <c r="H102" s="55" t="s">
        <v>33</v>
      </c>
      <c r="I102" s="55">
        <v>26.1</v>
      </c>
      <c r="J102" s="56">
        <v>1590</v>
      </c>
      <c r="K102" s="56" t="s">
        <v>34</v>
      </c>
      <c r="L102" s="56" t="s">
        <v>35</v>
      </c>
      <c r="M102" s="56" t="s">
        <v>35</v>
      </c>
      <c r="N102" s="63">
        <v>470</v>
      </c>
      <c r="O102" s="56" t="s">
        <v>35</v>
      </c>
      <c r="P102" s="56" t="s">
        <v>37</v>
      </c>
      <c r="Q102" s="56" t="s">
        <v>41</v>
      </c>
      <c r="R102" s="56">
        <v>3.1</v>
      </c>
      <c r="S102" s="56" t="s">
        <v>39</v>
      </c>
      <c r="T102" s="56" t="s">
        <v>42</v>
      </c>
      <c r="U102" s="56">
        <v>815</v>
      </c>
      <c r="V102" s="56"/>
      <c r="W102" s="136">
        <v>526</v>
      </c>
      <c r="X102" s="56">
        <v>114</v>
      </c>
      <c r="Y102" s="56">
        <v>5.7</v>
      </c>
      <c r="Z102" s="56">
        <v>290</v>
      </c>
      <c r="AA102" s="56">
        <v>7.4</v>
      </c>
      <c r="AB102" s="56">
        <v>480</v>
      </c>
      <c r="AC102" s="56">
        <v>62.3</v>
      </c>
    </row>
    <row r="103" spans="1:29">
      <c r="A103" s="11">
        <v>2</v>
      </c>
      <c r="B103" s="12" t="s">
        <v>64</v>
      </c>
      <c r="C103" s="13">
        <v>4</v>
      </c>
      <c r="D103" s="60">
        <v>44720</v>
      </c>
      <c r="E103" s="52">
        <v>6.35</v>
      </c>
      <c r="F103" s="56">
        <v>3080</v>
      </c>
      <c r="G103" s="54">
        <v>130</v>
      </c>
      <c r="H103" s="55" t="s">
        <v>33</v>
      </c>
      <c r="I103" s="55">
        <v>21.6</v>
      </c>
      <c r="J103" s="56">
        <v>1320</v>
      </c>
      <c r="K103" s="56" t="s">
        <v>34</v>
      </c>
      <c r="L103" s="56" t="s">
        <v>35</v>
      </c>
      <c r="M103" s="56" t="s">
        <v>35</v>
      </c>
      <c r="N103" s="63">
        <v>440</v>
      </c>
      <c r="O103" s="56" t="s">
        <v>35</v>
      </c>
      <c r="P103" s="56" t="s">
        <v>37</v>
      </c>
      <c r="Q103" s="56" t="s">
        <v>41</v>
      </c>
      <c r="R103" s="56">
        <v>3.4</v>
      </c>
      <c r="S103" s="56" t="s">
        <v>39</v>
      </c>
      <c r="T103" s="56" t="s">
        <v>42</v>
      </c>
      <c r="U103" s="56">
        <v>753</v>
      </c>
      <c r="V103" s="56"/>
      <c r="W103" s="136">
        <v>388</v>
      </c>
      <c r="X103" s="56">
        <v>85.2</v>
      </c>
      <c r="Y103" s="56">
        <v>4.6900000000000004</v>
      </c>
      <c r="Z103" s="56">
        <v>304</v>
      </c>
      <c r="AA103" s="56">
        <v>4.2</v>
      </c>
      <c r="AB103" s="56">
        <v>442</v>
      </c>
      <c r="AC103" s="56">
        <v>58.2</v>
      </c>
    </row>
    <row r="104" spans="1:29">
      <c r="A104" s="11">
        <v>2</v>
      </c>
      <c r="B104" s="12" t="s">
        <v>64</v>
      </c>
      <c r="C104" s="13">
        <v>4</v>
      </c>
      <c r="D104" s="60">
        <v>44704</v>
      </c>
      <c r="E104" s="52">
        <v>6.5</v>
      </c>
      <c r="F104" s="56">
        <v>3420</v>
      </c>
      <c r="G104" s="54">
        <v>17.600000000000001</v>
      </c>
      <c r="H104" s="55" t="s">
        <v>33</v>
      </c>
      <c r="I104" s="55">
        <v>22.9</v>
      </c>
      <c r="J104" s="56">
        <v>1400</v>
      </c>
      <c r="K104" s="56" t="s">
        <v>34</v>
      </c>
      <c r="L104" s="56" t="s">
        <v>35</v>
      </c>
      <c r="M104" s="56" t="s">
        <v>35</v>
      </c>
      <c r="N104" s="63">
        <v>430</v>
      </c>
      <c r="O104" s="56" t="s">
        <v>35</v>
      </c>
      <c r="P104" s="56" t="s">
        <v>37</v>
      </c>
      <c r="Q104" s="56" t="s">
        <v>41</v>
      </c>
      <c r="R104" s="56">
        <v>1.7</v>
      </c>
      <c r="S104" s="56" t="s">
        <v>39</v>
      </c>
      <c r="T104" s="56" t="s">
        <v>42</v>
      </c>
      <c r="U104" s="56">
        <v>734</v>
      </c>
      <c r="V104" s="56"/>
      <c r="W104" s="136">
        <v>331</v>
      </c>
      <c r="X104" s="56">
        <v>95.1</v>
      </c>
      <c r="Y104" s="56">
        <v>5.04</v>
      </c>
      <c r="Z104" s="56">
        <v>295</v>
      </c>
      <c r="AA104" s="56">
        <v>5.3</v>
      </c>
      <c r="AB104" s="56">
        <v>433</v>
      </c>
      <c r="AC104" s="56">
        <v>55.7</v>
      </c>
    </row>
    <row r="105" spans="1:29">
      <c r="A105" s="11">
        <v>2</v>
      </c>
      <c r="B105" s="12" t="s">
        <v>64</v>
      </c>
      <c r="C105" s="13">
        <v>4</v>
      </c>
      <c r="D105" s="60">
        <v>44676</v>
      </c>
      <c r="E105" s="52">
        <v>6.59</v>
      </c>
      <c r="F105" s="56">
        <v>2420</v>
      </c>
      <c r="G105" s="54">
        <v>46</v>
      </c>
      <c r="H105" s="55" t="s">
        <v>33</v>
      </c>
      <c r="I105" s="55">
        <v>18.8</v>
      </c>
      <c r="J105" s="56">
        <v>1150</v>
      </c>
      <c r="K105" s="56" t="s">
        <v>34</v>
      </c>
      <c r="L105" s="56" t="s">
        <v>35</v>
      </c>
      <c r="M105" s="56" t="s">
        <v>40</v>
      </c>
      <c r="N105" s="63">
        <v>240</v>
      </c>
      <c r="O105" s="56" t="s">
        <v>40</v>
      </c>
      <c r="P105" s="56" t="s">
        <v>37</v>
      </c>
      <c r="Q105" s="56" t="s">
        <v>49</v>
      </c>
      <c r="R105" s="56">
        <v>8.1999999999999993</v>
      </c>
      <c r="S105" s="56" t="s">
        <v>39</v>
      </c>
      <c r="T105" s="56" t="s">
        <v>50</v>
      </c>
      <c r="U105" s="56">
        <v>571</v>
      </c>
      <c r="V105" s="56"/>
      <c r="W105" s="136">
        <v>381</v>
      </c>
      <c r="X105" s="56">
        <v>76.3</v>
      </c>
      <c r="Y105" s="56">
        <v>3.73</v>
      </c>
      <c r="Z105" s="56">
        <v>240</v>
      </c>
      <c r="AA105" s="56">
        <v>5.8</v>
      </c>
      <c r="AB105" s="56">
        <v>331</v>
      </c>
      <c r="AC105" s="56">
        <v>46.9</v>
      </c>
    </row>
    <row r="106" spans="1:29">
      <c r="A106" s="11">
        <v>2</v>
      </c>
      <c r="B106" s="12" t="s">
        <v>64</v>
      </c>
      <c r="C106" s="13">
        <v>4</v>
      </c>
      <c r="D106" s="60">
        <v>44280</v>
      </c>
      <c r="E106" s="52">
        <v>6.57</v>
      </c>
      <c r="F106" s="56">
        <v>2800</v>
      </c>
      <c r="G106" s="54">
        <v>5300</v>
      </c>
      <c r="H106" s="55" t="s">
        <v>33</v>
      </c>
      <c r="I106" s="55">
        <v>21.1</v>
      </c>
      <c r="J106" s="56">
        <v>1290</v>
      </c>
      <c r="K106" s="56" t="s">
        <v>34</v>
      </c>
      <c r="L106" s="56" t="s">
        <v>35</v>
      </c>
      <c r="M106" s="56" t="s">
        <v>36</v>
      </c>
      <c r="N106" s="63">
        <v>347</v>
      </c>
      <c r="O106" s="56">
        <v>0.6</v>
      </c>
      <c r="P106" s="56">
        <v>9.8000000000000007</v>
      </c>
      <c r="Q106" s="56" t="s">
        <v>38</v>
      </c>
      <c r="R106" s="56">
        <v>0.5</v>
      </c>
      <c r="S106" s="56" t="s">
        <v>39</v>
      </c>
      <c r="T106" s="56" t="s">
        <v>40</v>
      </c>
      <c r="U106" s="56">
        <v>657</v>
      </c>
      <c r="V106" s="56"/>
      <c r="W106" s="136">
        <v>402</v>
      </c>
      <c r="X106" s="56">
        <v>48.2</v>
      </c>
      <c r="Y106" s="56">
        <v>4.01</v>
      </c>
      <c r="Z106" s="56">
        <v>296</v>
      </c>
      <c r="AA106" s="56">
        <v>27.6</v>
      </c>
      <c r="AB106" s="56">
        <v>389</v>
      </c>
      <c r="AC106" s="56">
        <v>49</v>
      </c>
    </row>
    <row r="107" spans="1:29">
      <c r="A107" s="11">
        <v>2</v>
      </c>
      <c r="B107" s="12" t="s">
        <v>64</v>
      </c>
      <c r="C107" s="13">
        <v>4</v>
      </c>
      <c r="D107" s="60">
        <v>44249</v>
      </c>
      <c r="E107" s="52">
        <v>6.64</v>
      </c>
      <c r="F107" s="56">
        <v>2730</v>
      </c>
      <c r="G107" s="54">
        <v>4500</v>
      </c>
      <c r="H107" s="55" t="s">
        <v>33</v>
      </c>
      <c r="I107" s="55">
        <v>22.6</v>
      </c>
      <c r="J107" s="56">
        <v>1380</v>
      </c>
      <c r="K107" s="56" t="s">
        <v>34</v>
      </c>
      <c r="L107" s="56" t="s">
        <v>35</v>
      </c>
      <c r="M107" s="56" t="s">
        <v>36</v>
      </c>
      <c r="N107" s="63">
        <v>331</v>
      </c>
      <c r="O107" s="56" t="s">
        <v>36</v>
      </c>
      <c r="P107" s="56">
        <v>0.43</v>
      </c>
      <c r="Q107" s="56" t="s">
        <v>38</v>
      </c>
      <c r="R107" s="56">
        <v>1</v>
      </c>
      <c r="S107" s="56" t="s">
        <v>39</v>
      </c>
      <c r="T107" s="56" t="s">
        <v>40</v>
      </c>
      <c r="U107" s="56">
        <v>643</v>
      </c>
      <c r="V107" s="56"/>
      <c r="W107" s="136">
        <v>230</v>
      </c>
      <c r="X107" s="56">
        <v>45.9</v>
      </c>
      <c r="Y107" s="56">
        <v>3.97</v>
      </c>
      <c r="Z107" s="56">
        <v>304</v>
      </c>
      <c r="AA107" s="56">
        <v>21</v>
      </c>
      <c r="AB107" s="56">
        <v>379</v>
      </c>
      <c r="AC107" s="56">
        <v>48.9</v>
      </c>
    </row>
    <row r="108" spans="1:29">
      <c r="A108" s="11">
        <v>2</v>
      </c>
      <c r="B108" s="12" t="s">
        <v>64</v>
      </c>
      <c r="C108" s="13">
        <v>4</v>
      </c>
      <c r="D108" s="60">
        <v>44217</v>
      </c>
      <c r="E108" s="52">
        <v>6.37</v>
      </c>
      <c r="F108" s="56">
        <v>2780</v>
      </c>
      <c r="G108" s="54">
        <v>4900</v>
      </c>
      <c r="H108" s="55" t="s">
        <v>33</v>
      </c>
      <c r="I108" s="55">
        <v>20.3</v>
      </c>
      <c r="J108" s="56">
        <v>1240</v>
      </c>
      <c r="K108" s="56" t="s">
        <v>34</v>
      </c>
      <c r="L108" s="56" t="s">
        <v>35</v>
      </c>
      <c r="M108" s="56" t="s">
        <v>35</v>
      </c>
      <c r="N108" s="63">
        <v>330</v>
      </c>
      <c r="O108" s="56" t="s">
        <v>35</v>
      </c>
      <c r="P108" s="56">
        <v>1.01</v>
      </c>
      <c r="Q108" s="56" t="s">
        <v>41</v>
      </c>
      <c r="R108" s="56">
        <v>4.7</v>
      </c>
      <c r="S108" s="56" t="s">
        <v>39</v>
      </c>
      <c r="T108" s="56" t="s">
        <v>42</v>
      </c>
      <c r="U108" s="56">
        <v>626</v>
      </c>
      <c r="V108" s="56"/>
      <c r="W108" s="136">
        <v>136</v>
      </c>
      <c r="X108" s="56">
        <v>28</v>
      </c>
      <c r="Y108" s="56">
        <v>3.94</v>
      </c>
      <c r="Z108" s="56">
        <v>294</v>
      </c>
      <c r="AA108" s="56">
        <v>20.8</v>
      </c>
      <c r="AB108" s="56">
        <v>368</v>
      </c>
      <c r="AC108" s="56">
        <v>48.1</v>
      </c>
    </row>
    <row r="109" spans="1:29">
      <c r="A109" s="11">
        <v>2</v>
      </c>
      <c r="B109" s="12" t="s">
        <v>64</v>
      </c>
      <c r="C109" s="13">
        <v>4</v>
      </c>
      <c r="D109" s="60">
        <v>44186</v>
      </c>
      <c r="E109" s="52">
        <v>6.88</v>
      </c>
      <c r="F109" s="56">
        <v>2320</v>
      </c>
      <c r="G109" s="54">
        <v>20000</v>
      </c>
      <c r="H109" s="55" t="s">
        <v>33</v>
      </c>
      <c r="I109" s="55">
        <v>21.5</v>
      </c>
      <c r="J109" s="56">
        <v>1310</v>
      </c>
      <c r="K109" s="56" t="s">
        <v>34</v>
      </c>
      <c r="L109" s="53" t="s">
        <v>35</v>
      </c>
      <c r="M109" s="56" t="s">
        <v>35</v>
      </c>
      <c r="N109" s="63">
        <v>320</v>
      </c>
      <c r="O109" s="56" t="s">
        <v>35</v>
      </c>
      <c r="P109" s="56">
        <v>0.31</v>
      </c>
      <c r="Q109" s="56" t="s">
        <v>41</v>
      </c>
      <c r="R109" s="56">
        <v>4.7</v>
      </c>
      <c r="S109" s="56">
        <v>0.08</v>
      </c>
      <c r="T109" s="56" t="s">
        <v>42</v>
      </c>
      <c r="U109" s="56">
        <v>612</v>
      </c>
      <c r="V109" s="87"/>
      <c r="W109" s="136">
        <v>1210</v>
      </c>
      <c r="X109" s="53">
        <v>26.7</v>
      </c>
      <c r="Y109" s="53">
        <v>4.2</v>
      </c>
      <c r="Z109" s="53">
        <v>296</v>
      </c>
      <c r="AA109" s="53">
        <v>19.600000000000001</v>
      </c>
      <c r="AB109" s="53">
        <v>359</v>
      </c>
      <c r="AC109" s="53">
        <v>47.6</v>
      </c>
    </row>
    <row r="110" spans="1:29" ht="15" thickBot="1">
      <c r="A110" s="15">
        <v>2</v>
      </c>
      <c r="B110" s="16" t="s">
        <v>64</v>
      </c>
      <c r="C110" s="17">
        <v>4</v>
      </c>
      <c r="D110" s="157">
        <v>44160</v>
      </c>
      <c r="E110" s="111">
        <v>7.03</v>
      </c>
      <c r="F110" s="115">
        <v>2430</v>
      </c>
      <c r="G110" s="113">
        <v>14.6</v>
      </c>
      <c r="H110" s="114" t="s">
        <v>33</v>
      </c>
      <c r="I110" s="114">
        <v>21.7</v>
      </c>
      <c r="J110" s="115">
        <v>1320</v>
      </c>
      <c r="K110" s="115" t="s">
        <v>34</v>
      </c>
      <c r="L110" s="112" t="s">
        <v>35</v>
      </c>
      <c r="M110" s="115" t="s">
        <v>36</v>
      </c>
      <c r="N110" s="116">
        <v>255</v>
      </c>
      <c r="O110" s="115">
        <v>1.2</v>
      </c>
      <c r="P110" s="115" t="s">
        <v>37</v>
      </c>
      <c r="Q110" s="115" t="s">
        <v>38</v>
      </c>
      <c r="R110" s="115">
        <v>3</v>
      </c>
      <c r="S110" s="115">
        <v>0.01</v>
      </c>
      <c r="T110" s="115" t="s">
        <v>40</v>
      </c>
      <c r="U110" s="115">
        <v>469</v>
      </c>
      <c r="V110" s="71"/>
      <c r="W110" s="160">
        <v>2.2000000000000002</v>
      </c>
      <c r="X110" s="112">
        <v>11.6</v>
      </c>
      <c r="Y110" s="112">
        <v>2.38</v>
      </c>
      <c r="Z110" s="112">
        <v>332</v>
      </c>
      <c r="AA110" s="112">
        <v>4.5</v>
      </c>
      <c r="AB110" s="112">
        <v>258</v>
      </c>
      <c r="AC110" s="112">
        <v>47</v>
      </c>
    </row>
    <row r="111" spans="1:29">
      <c r="A111" s="212">
        <v>3</v>
      </c>
      <c r="B111" s="172" t="s">
        <v>64</v>
      </c>
      <c r="C111" s="173">
        <v>5</v>
      </c>
      <c r="D111" s="174">
        <v>44285</v>
      </c>
      <c r="E111" s="205">
        <v>6.83</v>
      </c>
      <c r="F111" s="206">
        <v>2820</v>
      </c>
      <c r="G111" s="207">
        <v>25</v>
      </c>
      <c r="H111" s="208" t="s">
        <v>33</v>
      </c>
      <c r="I111" s="208">
        <v>22.8</v>
      </c>
      <c r="J111" s="206">
        <v>1390</v>
      </c>
      <c r="K111" s="206" t="s">
        <v>34</v>
      </c>
      <c r="L111" s="209" t="s">
        <v>35</v>
      </c>
      <c r="M111" s="206" t="s">
        <v>36</v>
      </c>
      <c r="N111" s="210">
        <v>331</v>
      </c>
      <c r="O111" s="206">
        <v>0.6</v>
      </c>
      <c r="P111" s="206" t="s">
        <v>37</v>
      </c>
      <c r="Q111" s="206" t="s">
        <v>38</v>
      </c>
      <c r="R111" s="206">
        <v>3.82</v>
      </c>
      <c r="S111" s="206" t="s">
        <v>39</v>
      </c>
      <c r="T111" s="206" t="s">
        <v>40</v>
      </c>
      <c r="U111" s="206">
        <v>674</v>
      </c>
      <c r="V111" s="206"/>
      <c r="W111" s="211">
        <v>187</v>
      </c>
      <c r="X111" s="209">
        <v>14.4</v>
      </c>
      <c r="Y111" s="209">
        <v>3.67</v>
      </c>
      <c r="Z111" s="209">
        <v>254</v>
      </c>
      <c r="AA111" s="209">
        <v>4.8</v>
      </c>
      <c r="AB111" s="209">
        <v>387</v>
      </c>
      <c r="AC111" s="209">
        <v>57.6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B7A53-DE13-4D6C-A56C-B0DCF598DD27}">
  <dimension ref="A1:AC62"/>
  <sheetViews>
    <sheetView workbookViewId="0">
      <selection activeCell="F2" sqref="F2"/>
    </sheetView>
  </sheetViews>
  <sheetFormatPr defaultRowHeight="14.4"/>
  <cols>
    <col min="3" max="3" width="18.21875" customWidth="1"/>
    <col min="4" max="4" width="13.44140625" customWidth="1"/>
  </cols>
  <sheetData>
    <row r="1" spans="1:29" ht="51.6" thickBot="1">
      <c r="A1" s="1" t="s">
        <v>0</v>
      </c>
      <c r="B1" s="218" t="s">
        <v>63</v>
      </c>
      <c r="C1" s="99" t="s">
        <v>62</v>
      </c>
      <c r="D1" s="2" t="s">
        <v>1</v>
      </c>
      <c r="E1" s="36" t="s">
        <v>4</v>
      </c>
      <c r="F1" s="37" t="s">
        <v>69</v>
      </c>
      <c r="G1" s="36" t="s">
        <v>5</v>
      </c>
      <c r="H1" s="36" t="s">
        <v>6</v>
      </c>
      <c r="I1" s="36" t="s">
        <v>7</v>
      </c>
      <c r="J1" s="37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8" t="s">
        <v>15</v>
      </c>
      <c r="R1" s="36" t="s">
        <v>16</v>
      </c>
      <c r="S1" s="36" t="s">
        <v>17</v>
      </c>
      <c r="T1" s="36" t="s">
        <v>18</v>
      </c>
      <c r="U1" s="36" t="s">
        <v>19</v>
      </c>
      <c r="V1" s="36" t="s">
        <v>20</v>
      </c>
      <c r="W1" s="37" t="s">
        <v>21</v>
      </c>
      <c r="X1" s="37" t="s">
        <v>22</v>
      </c>
      <c r="Y1" s="36" t="s">
        <v>23</v>
      </c>
      <c r="Z1" s="36" t="s">
        <v>24</v>
      </c>
      <c r="AA1" s="36" t="s">
        <v>25</v>
      </c>
      <c r="AB1" s="36" t="s">
        <v>26</v>
      </c>
      <c r="AC1" s="36" t="s">
        <v>27</v>
      </c>
    </row>
    <row r="2" spans="1:29" ht="15.6" thickBot="1">
      <c r="A2" s="3"/>
      <c r="B2" s="4"/>
      <c r="C2" s="5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29">
      <c r="A3" s="7">
        <v>1</v>
      </c>
      <c r="B3" s="8" t="s">
        <v>67</v>
      </c>
      <c r="C3" s="9">
        <v>1</v>
      </c>
      <c r="D3" s="131">
        <v>45792</v>
      </c>
      <c r="E3" s="44">
        <v>7.19</v>
      </c>
      <c r="F3" s="48">
        <v>1260</v>
      </c>
      <c r="G3" s="46">
        <v>2.2999999999999998</v>
      </c>
      <c r="H3" s="47" t="s">
        <v>33</v>
      </c>
      <c r="I3" s="47">
        <v>13.1</v>
      </c>
      <c r="J3" s="48">
        <v>799</v>
      </c>
      <c r="K3" s="48" t="s">
        <v>34</v>
      </c>
      <c r="L3" s="45" t="s">
        <v>35</v>
      </c>
      <c r="M3" s="48" t="s">
        <v>36</v>
      </c>
      <c r="N3" s="132">
        <v>84</v>
      </c>
      <c r="O3" s="48">
        <v>4</v>
      </c>
      <c r="P3" s="48" t="s">
        <v>37</v>
      </c>
      <c r="Q3" s="48" t="s">
        <v>38</v>
      </c>
      <c r="R3" s="48">
        <v>3.7</v>
      </c>
      <c r="S3" s="48" t="s">
        <v>39</v>
      </c>
      <c r="T3" s="48" t="s">
        <v>40</v>
      </c>
      <c r="U3" s="48">
        <v>312</v>
      </c>
      <c r="V3" s="48"/>
      <c r="W3" s="133" t="s">
        <v>42</v>
      </c>
      <c r="X3" s="45">
        <v>38.5</v>
      </c>
      <c r="Y3" s="45">
        <v>1.1299999999999999</v>
      </c>
      <c r="Z3" s="45">
        <v>103</v>
      </c>
      <c r="AA3" s="45">
        <v>1.9</v>
      </c>
      <c r="AB3" s="45">
        <v>165</v>
      </c>
      <c r="AC3" s="45">
        <v>35.1</v>
      </c>
    </row>
    <row r="4" spans="1:29" ht="15" thickBot="1">
      <c r="A4" s="15">
        <v>1</v>
      </c>
      <c r="B4" s="16" t="s">
        <v>67</v>
      </c>
      <c r="C4" s="17">
        <v>1</v>
      </c>
      <c r="D4" s="157">
        <v>44159</v>
      </c>
      <c r="E4" s="111">
        <v>7.56</v>
      </c>
      <c r="F4" s="115">
        <v>1360</v>
      </c>
      <c r="G4" s="113">
        <v>3.2</v>
      </c>
      <c r="H4" s="114" t="s">
        <v>33</v>
      </c>
      <c r="I4" s="114">
        <v>12.9</v>
      </c>
      <c r="J4" s="115">
        <v>787</v>
      </c>
      <c r="K4" s="115" t="s">
        <v>34</v>
      </c>
      <c r="L4" s="112" t="s">
        <v>35</v>
      </c>
      <c r="M4" s="115" t="s">
        <v>36</v>
      </c>
      <c r="N4" s="116">
        <v>87</v>
      </c>
      <c r="O4" s="115">
        <v>5</v>
      </c>
      <c r="P4" s="115" t="s">
        <v>37</v>
      </c>
      <c r="Q4" s="115">
        <v>60</v>
      </c>
      <c r="R4" s="115">
        <v>26</v>
      </c>
      <c r="S4" s="115">
        <v>0.01</v>
      </c>
      <c r="T4" s="115" t="s">
        <v>40</v>
      </c>
      <c r="U4" s="115">
        <v>301</v>
      </c>
      <c r="V4" s="115"/>
      <c r="W4" s="160">
        <v>1</v>
      </c>
      <c r="X4" s="112">
        <v>0.42</v>
      </c>
      <c r="Y4" s="112">
        <v>1.59</v>
      </c>
      <c r="Z4" s="112">
        <v>131</v>
      </c>
      <c r="AA4" s="112">
        <v>6.6</v>
      </c>
      <c r="AB4" s="112">
        <v>151</v>
      </c>
      <c r="AC4" s="112">
        <v>39</v>
      </c>
    </row>
    <row r="5" spans="1:29">
      <c r="A5" s="33">
        <v>1</v>
      </c>
      <c r="B5" s="20" t="s">
        <v>67</v>
      </c>
      <c r="C5" s="21">
        <v>2</v>
      </c>
      <c r="D5" s="168">
        <v>45783</v>
      </c>
      <c r="E5" s="74">
        <v>7.39</v>
      </c>
      <c r="F5" s="78">
        <v>1260</v>
      </c>
      <c r="G5" s="76">
        <v>2.9</v>
      </c>
      <c r="H5" s="77" t="s">
        <v>33</v>
      </c>
      <c r="I5" s="78">
        <v>12.4</v>
      </c>
      <c r="J5" s="78">
        <v>756</v>
      </c>
      <c r="K5" s="78" t="s">
        <v>34</v>
      </c>
      <c r="L5" s="78" t="s">
        <v>35</v>
      </c>
      <c r="M5" s="78" t="s">
        <v>36</v>
      </c>
      <c r="N5" s="120">
        <v>75</v>
      </c>
      <c r="O5" s="78">
        <v>3.7</v>
      </c>
      <c r="P5" s="78" t="s">
        <v>37</v>
      </c>
      <c r="Q5" s="78" t="s">
        <v>38</v>
      </c>
      <c r="R5" s="78">
        <v>2.6</v>
      </c>
      <c r="S5" s="78" t="s">
        <v>39</v>
      </c>
      <c r="T5" s="78" t="s">
        <v>40</v>
      </c>
      <c r="U5" s="78">
        <v>314</v>
      </c>
      <c r="V5" s="78"/>
      <c r="W5" s="200" t="s">
        <v>42</v>
      </c>
      <c r="X5" s="78">
        <v>4.5599999999999996</v>
      </c>
      <c r="Y5" s="78">
        <v>1.65</v>
      </c>
      <c r="Z5" s="78">
        <v>102</v>
      </c>
      <c r="AA5" s="78">
        <v>2</v>
      </c>
      <c r="AB5" s="78">
        <v>167</v>
      </c>
      <c r="AC5" s="78">
        <v>35</v>
      </c>
    </row>
    <row r="6" spans="1:29">
      <c r="A6" s="34">
        <v>1</v>
      </c>
      <c r="B6" s="12" t="s">
        <v>67</v>
      </c>
      <c r="C6" s="13">
        <v>2</v>
      </c>
      <c r="D6" s="60">
        <v>45567</v>
      </c>
      <c r="E6" s="52">
        <v>7.07</v>
      </c>
      <c r="F6" s="56">
        <v>1330</v>
      </c>
      <c r="G6" s="54">
        <v>1.9</v>
      </c>
      <c r="H6" s="55" t="s">
        <v>33</v>
      </c>
      <c r="I6" s="56">
        <v>11</v>
      </c>
      <c r="J6" s="56">
        <v>671</v>
      </c>
      <c r="K6" s="56" t="s">
        <v>34</v>
      </c>
      <c r="L6" s="56" t="s">
        <v>35</v>
      </c>
      <c r="M6" s="56" t="s">
        <v>36</v>
      </c>
      <c r="N6" s="63">
        <v>119</v>
      </c>
      <c r="O6" s="56">
        <v>3.8</v>
      </c>
      <c r="P6" s="56" t="s">
        <v>37</v>
      </c>
      <c r="Q6" s="56">
        <v>30</v>
      </c>
      <c r="R6" s="56">
        <v>1.7</v>
      </c>
      <c r="S6" s="56" t="s">
        <v>39</v>
      </c>
      <c r="T6" s="56" t="s">
        <v>40</v>
      </c>
      <c r="U6" s="56">
        <v>287</v>
      </c>
      <c r="V6" s="56"/>
      <c r="W6" s="136" t="s">
        <v>42</v>
      </c>
      <c r="X6" s="56">
        <v>0.93</v>
      </c>
      <c r="Y6" s="56">
        <v>1.26</v>
      </c>
      <c r="Z6" s="56">
        <v>117</v>
      </c>
      <c r="AA6" s="56">
        <v>1.9</v>
      </c>
      <c r="AB6" s="56">
        <v>154</v>
      </c>
      <c r="AC6" s="56">
        <v>31</v>
      </c>
    </row>
    <row r="7" spans="1:29">
      <c r="A7" s="34">
        <v>1</v>
      </c>
      <c r="B7" s="12" t="s">
        <v>67</v>
      </c>
      <c r="C7" s="13">
        <v>2</v>
      </c>
      <c r="D7" s="60">
        <v>45510</v>
      </c>
      <c r="E7" s="52">
        <v>7.28</v>
      </c>
      <c r="F7" s="56">
        <v>1270</v>
      </c>
      <c r="G7" s="54">
        <v>2.4</v>
      </c>
      <c r="H7" s="55" t="s">
        <v>33</v>
      </c>
      <c r="I7" s="56">
        <v>11.2</v>
      </c>
      <c r="J7" s="56">
        <v>683</v>
      </c>
      <c r="K7" s="56" t="s">
        <v>34</v>
      </c>
      <c r="L7" s="56" t="s">
        <v>35</v>
      </c>
      <c r="M7" s="56" t="s">
        <v>36</v>
      </c>
      <c r="N7" s="63">
        <v>100</v>
      </c>
      <c r="O7" s="56">
        <v>4.7</v>
      </c>
      <c r="P7" s="56" t="s">
        <v>37</v>
      </c>
      <c r="Q7" s="56">
        <v>30</v>
      </c>
      <c r="R7" s="56">
        <v>1.6</v>
      </c>
      <c r="S7" s="56" t="s">
        <v>39</v>
      </c>
      <c r="T7" s="56" t="s">
        <v>40</v>
      </c>
      <c r="U7" s="56">
        <v>300</v>
      </c>
      <c r="V7" s="56"/>
      <c r="W7" s="136" t="s">
        <v>46</v>
      </c>
      <c r="X7" s="56">
        <v>1.33</v>
      </c>
      <c r="Y7" s="56">
        <v>1.19</v>
      </c>
      <c r="Z7" s="56">
        <v>109</v>
      </c>
      <c r="AA7" s="56">
        <v>1.2</v>
      </c>
      <c r="AB7" s="56">
        <v>161</v>
      </c>
      <c r="AC7" s="56">
        <v>32.4</v>
      </c>
    </row>
    <row r="8" spans="1:29">
      <c r="A8" s="34">
        <v>1</v>
      </c>
      <c r="B8" s="12" t="s">
        <v>67</v>
      </c>
      <c r="C8" s="13">
        <v>2</v>
      </c>
      <c r="D8" s="60">
        <v>45426</v>
      </c>
      <c r="E8" s="52">
        <v>7.89</v>
      </c>
      <c r="F8" s="56">
        <v>1280</v>
      </c>
      <c r="G8" s="54">
        <v>2.2000000000000002</v>
      </c>
      <c r="H8" s="55" t="s">
        <v>33</v>
      </c>
      <c r="I8" s="56">
        <v>10.8</v>
      </c>
      <c r="J8" s="56">
        <v>659</v>
      </c>
      <c r="K8" s="56" t="s">
        <v>34</v>
      </c>
      <c r="L8" s="56" t="s">
        <v>35</v>
      </c>
      <c r="M8" s="56" t="s">
        <v>36</v>
      </c>
      <c r="N8" s="63">
        <v>110</v>
      </c>
      <c r="O8" s="56">
        <v>3.6</v>
      </c>
      <c r="P8" s="56" t="s">
        <v>37</v>
      </c>
      <c r="Q8" s="56">
        <v>30</v>
      </c>
      <c r="R8" s="56">
        <v>1.9</v>
      </c>
      <c r="S8" s="56">
        <v>0.01</v>
      </c>
      <c r="T8" s="56" t="s">
        <v>40</v>
      </c>
      <c r="U8" s="56">
        <v>282</v>
      </c>
      <c r="V8" s="56"/>
      <c r="W8" s="136">
        <v>2</v>
      </c>
      <c r="X8" s="56">
        <v>1.1100000000000001</v>
      </c>
      <c r="Y8" s="56">
        <v>1.24</v>
      </c>
      <c r="Z8" s="56">
        <v>113</v>
      </c>
      <c r="AA8" s="56">
        <v>1.8</v>
      </c>
      <c r="AB8" s="56">
        <v>151</v>
      </c>
      <c r="AC8" s="56">
        <v>30.6</v>
      </c>
    </row>
    <row r="9" spans="1:29">
      <c r="A9" s="34">
        <v>1</v>
      </c>
      <c r="B9" s="12" t="s">
        <v>67</v>
      </c>
      <c r="C9" s="13">
        <v>2</v>
      </c>
      <c r="D9" s="60">
        <v>45328</v>
      </c>
      <c r="E9" s="52">
        <v>7.58</v>
      </c>
      <c r="F9" s="56">
        <v>1340</v>
      </c>
      <c r="G9" s="54">
        <v>1.8</v>
      </c>
      <c r="H9" s="55" t="s">
        <v>33</v>
      </c>
      <c r="I9" s="56">
        <v>10.6</v>
      </c>
      <c r="J9" s="56">
        <v>647</v>
      </c>
      <c r="K9" s="56" t="s">
        <v>34</v>
      </c>
      <c r="L9" s="56" t="s">
        <v>35</v>
      </c>
      <c r="M9" s="56" t="s">
        <v>36</v>
      </c>
      <c r="N9" s="63">
        <v>113</v>
      </c>
      <c r="O9" s="56">
        <v>4.5999999999999996</v>
      </c>
      <c r="P9" s="56" t="s">
        <v>37</v>
      </c>
      <c r="Q9" s="56">
        <v>30</v>
      </c>
      <c r="R9" s="56">
        <v>1.8</v>
      </c>
      <c r="S9" s="56">
        <v>0.01</v>
      </c>
      <c r="T9" s="56" t="s">
        <v>40</v>
      </c>
      <c r="U9" s="56">
        <v>290</v>
      </c>
      <c r="V9" s="56"/>
      <c r="W9" s="136">
        <v>8.4</v>
      </c>
      <c r="X9" s="56">
        <v>1.32</v>
      </c>
      <c r="Y9" s="56">
        <v>1.26</v>
      </c>
      <c r="Z9" s="56">
        <v>108</v>
      </c>
      <c r="AA9" s="56">
        <v>1.3</v>
      </c>
      <c r="AB9" s="56">
        <v>156</v>
      </c>
      <c r="AC9" s="56">
        <v>31</v>
      </c>
    </row>
    <row r="10" spans="1:29">
      <c r="A10" s="34">
        <v>1</v>
      </c>
      <c r="B10" s="12" t="s">
        <v>67</v>
      </c>
      <c r="C10" s="13">
        <v>2</v>
      </c>
      <c r="D10" s="60">
        <v>45244</v>
      </c>
      <c r="E10" s="52">
        <v>7.34</v>
      </c>
      <c r="F10" s="56">
        <v>1210</v>
      </c>
      <c r="G10" s="54">
        <v>2.4</v>
      </c>
      <c r="H10" s="55" t="s">
        <v>33</v>
      </c>
      <c r="I10" s="56">
        <v>10.5</v>
      </c>
      <c r="J10" s="56">
        <v>641</v>
      </c>
      <c r="K10" s="56" t="s">
        <v>34</v>
      </c>
      <c r="L10" s="56" t="s">
        <v>35</v>
      </c>
      <c r="M10" s="56" t="s">
        <v>36</v>
      </c>
      <c r="N10" s="63">
        <v>121</v>
      </c>
      <c r="O10" s="56">
        <v>5.4</v>
      </c>
      <c r="P10" s="56" t="s">
        <v>37</v>
      </c>
      <c r="Q10" s="56">
        <v>40</v>
      </c>
      <c r="R10" s="56">
        <v>1.9</v>
      </c>
      <c r="S10" s="56" t="s">
        <v>39</v>
      </c>
      <c r="T10" s="56" t="s">
        <v>40</v>
      </c>
      <c r="U10" s="56">
        <v>282</v>
      </c>
      <c r="V10" s="56"/>
      <c r="W10" s="136" t="s">
        <v>36</v>
      </c>
      <c r="X10" s="56">
        <v>1.28</v>
      </c>
      <c r="Y10" s="56">
        <v>1.25</v>
      </c>
      <c r="Z10" s="56">
        <v>106</v>
      </c>
      <c r="AA10" s="56">
        <v>2</v>
      </c>
      <c r="AB10" s="56">
        <v>152</v>
      </c>
      <c r="AC10" s="56">
        <v>29.9</v>
      </c>
    </row>
    <row r="11" spans="1:29">
      <c r="A11" s="34">
        <v>1</v>
      </c>
      <c r="B11" s="12" t="s">
        <v>67</v>
      </c>
      <c r="C11" s="13">
        <v>2</v>
      </c>
      <c r="D11" s="60">
        <v>45160</v>
      </c>
      <c r="E11" s="52">
        <v>7.42</v>
      </c>
      <c r="F11" s="56">
        <v>1260</v>
      </c>
      <c r="G11" s="54">
        <v>2.5</v>
      </c>
      <c r="H11" s="55" t="s">
        <v>33</v>
      </c>
      <c r="I11" s="56">
        <v>11.4</v>
      </c>
      <c r="J11" s="56">
        <v>695</v>
      </c>
      <c r="K11" s="56" t="s">
        <v>34</v>
      </c>
      <c r="L11" s="56" t="s">
        <v>35</v>
      </c>
      <c r="M11" s="56" t="s">
        <v>36</v>
      </c>
      <c r="N11" s="63">
        <v>107</v>
      </c>
      <c r="O11" s="56">
        <v>6.6</v>
      </c>
      <c r="P11" s="56" t="s">
        <v>37</v>
      </c>
      <c r="Q11" s="56">
        <v>30</v>
      </c>
      <c r="R11" s="56">
        <v>2</v>
      </c>
      <c r="S11" s="56" t="s">
        <v>39</v>
      </c>
      <c r="T11" s="56" t="s">
        <v>40</v>
      </c>
      <c r="U11" s="56">
        <v>310</v>
      </c>
      <c r="V11" s="56"/>
      <c r="W11" s="136" t="s">
        <v>36</v>
      </c>
      <c r="X11" s="56">
        <v>1.77</v>
      </c>
      <c r="Y11" s="56">
        <v>1.25</v>
      </c>
      <c r="Z11" s="56">
        <v>110</v>
      </c>
      <c r="AA11" s="56">
        <v>2.1</v>
      </c>
      <c r="AB11" s="56">
        <v>165</v>
      </c>
      <c r="AC11" s="56">
        <v>34.299999999999997</v>
      </c>
    </row>
    <row r="12" spans="1:29">
      <c r="A12" s="34">
        <v>1</v>
      </c>
      <c r="B12" s="12" t="s">
        <v>67</v>
      </c>
      <c r="C12" s="13">
        <v>2</v>
      </c>
      <c r="D12" s="60">
        <v>45062</v>
      </c>
      <c r="E12" s="52">
        <v>7.61</v>
      </c>
      <c r="F12" s="56">
        <v>1320</v>
      </c>
      <c r="G12" s="54">
        <v>2.1</v>
      </c>
      <c r="H12" s="55" t="s">
        <v>33</v>
      </c>
      <c r="I12" s="56">
        <v>11.6</v>
      </c>
      <c r="J12" s="56">
        <v>708</v>
      </c>
      <c r="K12" s="56" t="s">
        <v>34</v>
      </c>
      <c r="L12" s="56" t="s">
        <v>35</v>
      </c>
      <c r="M12" s="56" t="s">
        <v>36</v>
      </c>
      <c r="N12" s="63">
        <v>125</v>
      </c>
      <c r="O12" s="56">
        <v>5.9</v>
      </c>
      <c r="P12" s="56" t="s">
        <v>37</v>
      </c>
      <c r="Q12" s="56">
        <v>30</v>
      </c>
      <c r="R12" s="56">
        <v>2.1</v>
      </c>
      <c r="S12" s="56" t="s">
        <v>39</v>
      </c>
      <c r="T12" s="56" t="s">
        <v>40</v>
      </c>
      <c r="U12" s="56">
        <v>320</v>
      </c>
      <c r="V12" s="56"/>
      <c r="W12" s="136" t="s">
        <v>33</v>
      </c>
      <c r="X12" s="56">
        <v>2.78</v>
      </c>
      <c r="Y12" s="56">
        <v>1.55</v>
      </c>
      <c r="Z12" s="56">
        <v>112</v>
      </c>
      <c r="AA12" s="56">
        <v>1.5</v>
      </c>
      <c r="AB12" s="56">
        <v>171</v>
      </c>
      <c r="AC12" s="56">
        <v>35.1</v>
      </c>
    </row>
    <row r="13" spans="1:29">
      <c r="A13" s="34">
        <v>1</v>
      </c>
      <c r="B13" s="12" t="s">
        <v>67</v>
      </c>
      <c r="C13" s="13">
        <v>2</v>
      </c>
      <c r="D13" s="60">
        <v>44978</v>
      </c>
      <c r="E13" s="52">
        <v>7.34</v>
      </c>
      <c r="F13" s="56">
        <v>1480</v>
      </c>
      <c r="G13" s="54">
        <v>1.7</v>
      </c>
      <c r="H13" s="55" t="s">
        <v>33</v>
      </c>
      <c r="I13" s="56">
        <v>12.9</v>
      </c>
      <c r="J13" s="56">
        <v>787</v>
      </c>
      <c r="K13" s="56" t="s">
        <v>34</v>
      </c>
      <c r="L13" s="56" t="s">
        <v>35</v>
      </c>
      <c r="M13" s="56" t="s">
        <v>36</v>
      </c>
      <c r="N13" s="63">
        <v>115</v>
      </c>
      <c r="O13" s="56">
        <v>5.7</v>
      </c>
      <c r="P13" s="56" t="s">
        <v>37</v>
      </c>
      <c r="Q13" s="56">
        <v>30</v>
      </c>
      <c r="R13" s="56">
        <v>2.1</v>
      </c>
      <c r="S13" s="56" t="s">
        <v>39</v>
      </c>
      <c r="T13" s="56" t="s">
        <v>40</v>
      </c>
      <c r="U13" s="56">
        <v>368</v>
      </c>
      <c r="V13" s="56"/>
      <c r="W13" s="136" t="s">
        <v>36</v>
      </c>
      <c r="X13" s="56">
        <v>1.6</v>
      </c>
      <c r="Y13" s="56">
        <v>1.36</v>
      </c>
      <c r="Z13" s="56">
        <v>123</v>
      </c>
      <c r="AA13" s="56">
        <v>1.7</v>
      </c>
      <c r="AB13" s="56">
        <v>195</v>
      </c>
      <c r="AC13" s="56">
        <v>41.3</v>
      </c>
    </row>
    <row r="14" spans="1:29">
      <c r="A14" s="34">
        <v>1</v>
      </c>
      <c r="B14" s="12" t="s">
        <v>67</v>
      </c>
      <c r="C14" s="13">
        <v>2</v>
      </c>
      <c r="D14" s="60">
        <v>44880</v>
      </c>
      <c r="E14" s="52">
        <v>7.42</v>
      </c>
      <c r="F14" s="56">
        <v>1320</v>
      </c>
      <c r="G14" s="54">
        <v>3.2</v>
      </c>
      <c r="H14" s="55" t="s">
        <v>33</v>
      </c>
      <c r="I14" s="56">
        <v>12.2</v>
      </c>
      <c r="J14" s="56">
        <v>744</v>
      </c>
      <c r="K14" s="56" t="s">
        <v>34</v>
      </c>
      <c r="L14" s="56" t="s">
        <v>35</v>
      </c>
      <c r="M14" s="56" t="s">
        <v>36</v>
      </c>
      <c r="N14" s="63">
        <v>123</v>
      </c>
      <c r="O14" s="56">
        <v>4.2</v>
      </c>
      <c r="P14" s="56" t="s">
        <v>37</v>
      </c>
      <c r="Q14" s="56" t="s">
        <v>38</v>
      </c>
      <c r="R14" s="56">
        <v>2.2000000000000002</v>
      </c>
      <c r="S14" s="56" t="s">
        <v>39</v>
      </c>
      <c r="T14" s="56" t="s">
        <v>40</v>
      </c>
      <c r="U14" s="56">
        <v>339</v>
      </c>
      <c r="V14" s="56"/>
      <c r="W14" s="136">
        <v>1.2</v>
      </c>
      <c r="X14" s="56">
        <v>1.27</v>
      </c>
      <c r="Y14" s="56">
        <v>1.21</v>
      </c>
      <c r="Z14" s="56">
        <v>121</v>
      </c>
      <c r="AA14" s="56">
        <v>1.8</v>
      </c>
      <c r="AB14" s="56">
        <v>180</v>
      </c>
      <c r="AC14" s="56">
        <v>37.6</v>
      </c>
    </row>
    <row r="15" spans="1:29">
      <c r="A15" s="34">
        <v>1</v>
      </c>
      <c r="B15" s="12" t="s">
        <v>67</v>
      </c>
      <c r="C15" s="13">
        <v>2</v>
      </c>
      <c r="D15" s="60">
        <v>44747</v>
      </c>
      <c r="E15" s="52">
        <v>7.23</v>
      </c>
      <c r="F15" s="56">
        <v>1500</v>
      </c>
      <c r="G15" s="54">
        <v>2.9</v>
      </c>
      <c r="H15" s="55" t="s">
        <v>33</v>
      </c>
      <c r="I15" s="56">
        <v>14</v>
      </c>
      <c r="J15" s="56">
        <v>854</v>
      </c>
      <c r="K15" s="56" t="s">
        <v>34</v>
      </c>
      <c r="L15" s="56" t="s">
        <v>35</v>
      </c>
      <c r="M15" s="56" t="s">
        <v>36</v>
      </c>
      <c r="N15" s="63">
        <v>112</v>
      </c>
      <c r="O15" s="56">
        <v>4.7</v>
      </c>
      <c r="P15" s="56" t="s">
        <v>37</v>
      </c>
      <c r="Q15" s="56" t="s">
        <v>38</v>
      </c>
      <c r="R15" s="56">
        <v>2.4</v>
      </c>
      <c r="S15" s="56" t="s">
        <v>39</v>
      </c>
      <c r="T15" s="56" t="s">
        <v>40</v>
      </c>
      <c r="U15" s="56">
        <v>388</v>
      </c>
      <c r="V15" s="56"/>
      <c r="W15" s="136">
        <v>0.9</v>
      </c>
      <c r="X15" s="56">
        <v>1.17</v>
      </c>
      <c r="Y15" s="56">
        <v>1.26</v>
      </c>
      <c r="Z15" s="56">
        <v>133</v>
      </c>
      <c r="AA15" s="56">
        <v>2.1</v>
      </c>
      <c r="AB15" s="56">
        <v>208</v>
      </c>
      <c r="AC15" s="56">
        <v>41.9</v>
      </c>
    </row>
    <row r="16" spans="1:29">
      <c r="A16" s="34">
        <v>1</v>
      </c>
      <c r="B16" s="12" t="s">
        <v>67</v>
      </c>
      <c r="C16" s="13">
        <v>2</v>
      </c>
      <c r="D16" s="60">
        <v>44704</v>
      </c>
      <c r="E16" s="52">
        <v>7.31</v>
      </c>
      <c r="F16" s="56">
        <v>1550</v>
      </c>
      <c r="G16" s="54">
        <v>2.6</v>
      </c>
      <c r="H16" s="55" t="s">
        <v>33</v>
      </c>
      <c r="I16" s="56">
        <v>13.8</v>
      </c>
      <c r="J16" s="56">
        <v>842</v>
      </c>
      <c r="K16" s="56" t="s">
        <v>34</v>
      </c>
      <c r="L16" s="56" t="s">
        <v>35</v>
      </c>
      <c r="M16" s="56" t="s">
        <v>36</v>
      </c>
      <c r="N16" s="63">
        <v>109</v>
      </c>
      <c r="O16" s="56">
        <v>3.8</v>
      </c>
      <c r="P16" s="56" t="s">
        <v>37</v>
      </c>
      <c r="Q16" s="56">
        <v>30</v>
      </c>
      <c r="R16" s="56">
        <v>2</v>
      </c>
      <c r="S16" s="56" t="s">
        <v>39</v>
      </c>
      <c r="T16" s="56" t="s">
        <v>40</v>
      </c>
      <c r="U16" s="56">
        <v>379</v>
      </c>
      <c r="V16" s="56"/>
      <c r="W16" s="136" t="s">
        <v>33</v>
      </c>
      <c r="X16" s="56">
        <v>1.07</v>
      </c>
      <c r="Y16" s="56">
        <v>1.32</v>
      </c>
      <c r="Z16" s="56">
        <v>120</v>
      </c>
      <c r="AA16" s="56">
        <v>2.1</v>
      </c>
      <c r="AB16" s="56">
        <v>201</v>
      </c>
      <c r="AC16" s="56">
        <v>42.2</v>
      </c>
    </row>
    <row r="17" spans="1:29">
      <c r="A17" s="34">
        <v>1</v>
      </c>
      <c r="B17" s="12" t="s">
        <v>67</v>
      </c>
      <c r="C17" s="13">
        <v>2</v>
      </c>
      <c r="D17" s="60">
        <v>44613</v>
      </c>
      <c r="E17" s="52">
        <v>7.26</v>
      </c>
      <c r="F17" s="56">
        <v>1600</v>
      </c>
      <c r="G17" s="54">
        <v>2.2000000000000002</v>
      </c>
      <c r="H17" s="55" t="s">
        <v>33</v>
      </c>
      <c r="I17" s="56">
        <v>15.3</v>
      </c>
      <c r="J17" s="56">
        <v>933</v>
      </c>
      <c r="K17" s="56" t="s">
        <v>34</v>
      </c>
      <c r="L17" s="56" t="s">
        <v>35</v>
      </c>
      <c r="M17" s="56" t="s">
        <v>36</v>
      </c>
      <c r="N17" s="63">
        <v>112</v>
      </c>
      <c r="O17" s="56">
        <v>4.0999999999999996</v>
      </c>
      <c r="P17" s="56" t="s">
        <v>37</v>
      </c>
      <c r="Q17" s="56">
        <v>40</v>
      </c>
      <c r="R17" s="56">
        <v>2.6</v>
      </c>
      <c r="S17" s="56" t="s">
        <v>39</v>
      </c>
      <c r="T17" s="56" t="s">
        <v>40</v>
      </c>
      <c r="U17" s="56">
        <v>432</v>
      </c>
      <c r="V17" s="56"/>
      <c r="W17" s="136">
        <v>0.5</v>
      </c>
      <c r="X17" s="56">
        <v>0.97</v>
      </c>
      <c r="Y17" s="56">
        <v>1.44</v>
      </c>
      <c r="Z17" s="56">
        <v>134</v>
      </c>
      <c r="AA17" s="56">
        <v>2.7</v>
      </c>
      <c r="AB17" s="56">
        <v>230</v>
      </c>
      <c r="AC17" s="56">
        <v>47.7</v>
      </c>
    </row>
    <row r="18" spans="1:29">
      <c r="A18" s="34">
        <v>1</v>
      </c>
      <c r="B18" s="12" t="s">
        <v>67</v>
      </c>
      <c r="C18" s="13">
        <v>2</v>
      </c>
      <c r="D18" s="60">
        <v>44515</v>
      </c>
      <c r="E18" s="52">
        <v>7.05</v>
      </c>
      <c r="F18" s="56">
        <v>1640</v>
      </c>
      <c r="G18" s="54">
        <v>1.7</v>
      </c>
      <c r="H18" s="55" t="s">
        <v>33</v>
      </c>
      <c r="I18" s="56">
        <v>16</v>
      </c>
      <c r="J18" s="56">
        <v>976</v>
      </c>
      <c r="K18" s="56" t="s">
        <v>34</v>
      </c>
      <c r="L18" s="56" t="s">
        <v>35</v>
      </c>
      <c r="M18" s="56" t="s">
        <v>35</v>
      </c>
      <c r="N18" s="63">
        <v>120</v>
      </c>
      <c r="O18" s="56">
        <v>3</v>
      </c>
      <c r="P18" s="56" t="s">
        <v>37</v>
      </c>
      <c r="Q18" s="56" t="s">
        <v>41</v>
      </c>
      <c r="R18" s="56">
        <v>2.9</v>
      </c>
      <c r="S18" s="56" t="s">
        <v>39</v>
      </c>
      <c r="T18" s="56" t="s">
        <v>42</v>
      </c>
      <c r="U18" s="56">
        <v>435</v>
      </c>
      <c r="V18" s="56"/>
      <c r="W18" s="136">
        <v>5.7</v>
      </c>
      <c r="X18" s="56">
        <v>2.16</v>
      </c>
      <c r="Y18" s="56">
        <v>1.46</v>
      </c>
      <c r="Z18" s="56">
        <v>143</v>
      </c>
      <c r="AA18" s="56">
        <v>2.2999999999999998</v>
      </c>
      <c r="AB18" s="56">
        <v>232</v>
      </c>
      <c r="AC18" s="56">
        <v>48</v>
      </c>
    </row>
    <row r="19" spans="1:29">
      <c r="A19" s="34">
        <v>1</v>
      </c>
      <c r="B19" s="12" t="s">
        <v>67</v>
      </c>
      <c r="C19" s="13">
        <v>2</v>
      </c>
      <c r="D19" s="60">
        <v>44431</v>
      </c>
      <c r="E19" s="52">
        <v>7.1</v>
      </c>
      <c r="F19" s="56">
        <v>1820</v>
      </c>
      <c r="G19" s="54">
        <v>7</v>
      </c>
      <c r="H19" s="55" t="s">
        <v>33</v>
      </c>
      <c r="I19" s="56">
        <v>20.2</v>
      </c>
      <c r="J19" s="56">
        <v>1230</v>
      </c>
      <c r="K19" s="56" t="s">
        <v>34</v>
      </c>
      <c r="L19" s="56" t="s">
        <v>35</v>
      </c>
      <c r="M19" s="56" t="s">
        <v>35</v>
      </c>
      <c r="N19" s="63">
        <v>100</v>
      </c>
      <c r="O19" s="56">
        <v>2</v>
      </c>
      <c r="P19" s="56">
        <v>0.34</v>
      </c>
      <c r="Q19" s="56" t="s">
        <v>41</v>
      </c>
      <c r="R19" s="56">
        <v>2.2000000000000002</v>
      </c>
      <c r="S19" s="56" t="s">
        <v>39</v>
      </c>
      <c r="T19" s="56" t="s">
        <v>42</v>
      </c>
      <c r="U19" s="56">
        <v>484</v>
      </c>
      <c r="V19" s="56"/>
      <c r="W19" s="136">
        <v>1.7</v>
      </c>
      <c r="X19" s="56">
        <v>3</v>
      </c>
      <c r="Y19" s="56">
        <v>1.46</v>
      </c>
      <c r="Z19" s="56">
        <v>153</v>
      </c>
      <c r="AA19" s="56">
        <v>2.5</v>
      </c>
      <c r="AB19" s="56">
        <v>257</v>
      </c>
      <c r="AC19" s="56">
        <v>54.1</v>
      </c>
    </row>
    <row r="20" spans="1:29">
      <c r="A20" s="34">
        <v>1</v>
      </c>
      <c r="B20" s="12" t="s">
        <v>67</v>
      </c>
      <c r="C20" s="13">
        <v>2</v>
      </c>
      <c r="D20" s="169" t="s">
        <v>3</v>
      </c>
      <c r="E20" s="52">
        <v>7.06</v>
      </c>
      <c r="F20" s="56">
        <v>1880</v>
      </c>
      <c r="G20" s="54">
        <v>2.5</v>
      </c>
      <c r="H20" s="55" t="s">
        <v>33</v>
      </c>
      <c r="I20" s="56">
        <v>19.3</v>
      </c>
      <c r="J20" s="56">
        <v>1180</v>
      </c>
      <c r="K20" s="56" t="s">
        <v>34</v>
      </c>
      <c r="L20" s="56" t="s">
        <v>35</v>
      </c>
      <c r="M20" s="56" t="s">
        <v>36</v>
      </c>
      <c r="N20" s="63">
        <v>112</v>
      </c>
      <c r="O20" s="56">
        <v>1.7</v>
      </c>
      <c r="P20" s="56" t="s">
        <v>37</v>
      </c>
      <c r="Q20" s="56" t="s">
        <v>38</v>
      </c>
      <c r="R20" s="56">
        <v>2.7</v>
      </c>
      <c r="S20" s="56" t="s">
        <v>39</v>
      </c>
      <c r="T20" s="56" t="s">
        <v>40</v>
      </c>
      <c r="U20" s="56">
        <v>505</v>
      </c>
      <c r="V20" s="56"/>
      <c r="W20" s="136">
        <v>8.3000000000000007</v>
      </c>
      <c r="X20" s="56">
        <v>6.28</v>
      </c>
      <c r="Y20" s="56">
        <v>1.7</v>
      </c>
      <c r="Z20" s="56">
        <v>144</v>
      </c>
      <c r="AA20" s="56">
        <v>2.8</v>
      </c>
      <c r="AB20" s="56">
        <v>270</v>
      </c>
      <c r="AC20" s="56">
        <v>55</v>
      </c>
    </row>
    <row r="21" spans="1:29">
      <c r="A21" s="11">
        <v>1</v>
      </c>
      <c r="B21" s="12" t="s">
        <v>67</v>
      </c>
      <c r="C21" s="13">
        <v>2</v>
      </c>
      <c r="D21" s="60">
        <v>44312</v>
      </c>
      <c r="E21" s="52">
        <v>6.72</v>
      </c>
      <c r="F21" s="56">
        <v>1950</v>
      </c>
      <c r="G21" s="54">
        <v>8.6999999999999993</v>
      </c>
      <c r="H21" s="55" t="s">
        <v>33</v>
      </c>
      <c r="I21" s="56">
        <v>19.7</v>
      </c>
      <c r="J21" s="56">
        <v>1200</v>
      </c>
      <c r="K21" s="56" t="s">
        <v>34</v>
      </c>
      <c r="L21" s="56" t="s">
        <v>35</v>
      </c>
      <c r="M21" s="56" t="s">
        <v>36</v>
      </c>
      <c r="N21" s="63">
        <v>108</v>
      </c>
      <c r="O21" s="56">
        <v>1.4</v>
      </c>
      <c r="P21" s="56" t="s">
        <v>37</v>
      </c>
      <c r="Q21" s="56" t="s">
        <v>38</v>
      </c>
      <c r="R21" s="56">
        <v>3.7</v>
      </c>
      <c r="S21" s="56" t="s">
        <v>39</v>
      </c>
      <c r="T21" s="56" t="s">
        <v>40</v>
      </c>
      <c r="U21" s="56">
        <v>530</v>
      </c>
      <c r="V21" s="56"/>
      <c r="W21" s="136">
        <v>19</v>
      </c>
      <c r="X21" s="56">
        <v>12.3</v>
      </c>
      <c r="Y21" s="56">
        <v>2.0099999999999998</v>
      </c>
      <c r="Z21" s="56">
        <v>137</v>
      </c>
      <c r="AA21" s="56">
        <v>3.6</v>
      </c>
      <c r="AB21" s="56">
        <v>287</v>
      </c>
      <c r="AC21" s="56">
        <v>55.8</v>
      </c>
    </row>
    <row r="22" spans="1:29">
      <c r="A22" s="11">
        <v>1</v>
      </c>
      <c r="B22" s="12" t="s">
        <v>67</v>
      </c>
      <c r="C22" s="13">
        <v>2</v>
      </c>
      <c r="D22" s="60">
        <v>44249</v>
      </c>
      <c r="E22" s="52">
        <v>6.19</v>
      </c>
      <c r="F22" s="56">
        <v>2600</v>
      </c>
      <c r="G22" s="54">
        <v>38</v>
      </c>
      <c r="H22" s="55" t="s">
        <v>33</v>
      </c>
      <c r="I22" s="56">
        <v>23.7</v>
      </c>
      <c r="J22" s="56">
        <v>1450</v>
      </c>
      <c r="K22" s="56" t="s">
        <v>34</v>
      </c>
      <c r="L22" s="56" t="s">
        <v>35</v>
      </c>
      <c r="M22" s="56" t="s">
        <v>36</v>
      </c>
      <c r="N22" s="63">
        <v>116</v>
      </c>
      <c r="O22" s="56">
        <v>2.4</v>
      </c>
      <c r="P22" s="56" t="s">
        <v>37</v>
      </c>
      <c r="Q22" s="56" t="s">
        <v>38</v>
      </c>
      <c r="R22" s="56">
        <v>1.8</v>
      </c>
      <c r="S22" s="56" t="s">
        <v>39</v>
      </c>
      <c r="T22" s="56" t="s">
        <v>40</v>
      </c>
      <c r="U22" s="56">
        <v>894</v>
      </c>
      <c r="V22" s="56"/>
      <c r="W22" s="136">
        <v>919</v>
      </c>
      <c r="X22" s="56">
        <v>61.4</v>
      </c>
      <c r="Y22" s="56">
        <v>4.03</v>
      </c>
      <c r="Z22" s="56">
        <v>159</v>
      </c>
      <c r="AA22" s="56">
        <v>7.6</v>
      </c>
      <c r="AB22" s="56">
        <v>529</v>
      </c>
      <c r="AC22" s="56">
        <v>66.8</v>
      </c>
    </row>
    <row r="23" spans="1:29">
      <c r="A23" s="11">
        <v>1</v>
      </c>
      <c r="B23" s="12" t="s">
        <v>67</v>
      </c>
      <c r="C23" s="13">
        <v>2</v>
      </c>
      <c r="D23" s="60">
        <v>44217</v>
      </c>
      <c r="E23" s="52">
        <v>5.6</v>
      </c>
      <c r="F23" s="56">
        <v>2900</v>
      </c>
      <c r="G23" s="54">
        <v>59</v>
      </c>
      <c r="H23" s="55" t="s">
        <v>33</v>
      </c>
      <c r="I23" s="56">
        <v>21.1</v>
      </c>
      <c r="J23" s="56">
        <v>1290</v>
      </c>
      <c r="K23" s="56" t="s">
        <v>34</v>
      </c>
      <c r="L23" s="56" t="s">
        <v>35</v>
      </c>
      <c r="M23" s="56" t="s">
        <v>35</v>
      </c>
      <c r="N23" s="63">
        <v>110</v>
      </c>
      <c r="O23" s="56" t="s">
        <v>35</v>
      </c>
      <c r="P23" s="56" t="s">
        <v>37</v>
      </c>
      <c r="Q23" s="56" t="s">
        <v>41</v>
      </c>
      <c r="R23" s="56" t="s">
        <v>55</v>
      </c>
      <c r="S23" s="56" t="s">
        <v>39</v>
      </c>
      <c r="T23" s="56" t="s">
        <v>42</v>
      </c>
      <c r="U23" s="56">
        <v>978</v>
      </c>
      <c r="V23" s="56"/>
      <c r="W23" s="136">
        <v>1310</v>
      </c>
      <c r="X23" s="56">
        <v>68.8</v>
      </c>
      <c r="Y23" s="56">
        <v>4.79</v>
      </c>
      <c r="Z23" s="56">
        <v>154</v>
      </c>
      <c r="AA23" s="56">
        <v>6.4</v>
      </c>
      <c r="AB23" s="56">
        <v>580</v>
      </c>
      <c r="AC23" s="56">
        <v>72.3</v>
      </c>
    </row>
    <row r="24" spans="1:29">
      <c r="A24" s="11">
        <v>1</v>
      </c>
      <c r="B24" s="12" t="s">
        <v>67</v>
      </c>
      <c r="C24" s="13">
        <v>2</v>
      </c>
      <c r="D24" s="60">
        <v>44186</v>
      </c>
      <c r="E24" s="52">
        <v>6.24</v>
      </c>
      <c r="F24" s="56">
        <v>2620</v>
      </c>
      <c r="G24" s="54">
        <v>540</v>
      </c>
      <c r="H24" s="55" t="s">
        <v>33</v>
      </c>
      <c r="I24" s="56">
        <v>21.8</v>
      </c>
      <c r="J24" s="56">
        <v>1330</v>
      </c>
      <c r="K24" s="53" t="s">
        <v>34</v>
      </c>
      <c r="L24" s="56" t="s">
        <v>35</v>
      </c>
      <c r="M24" s="56">
        <v>7</v>
      </c>
      <c r="N24" s="63">
        <v>110</v>
      </c>
      <c r="O24" s="56">
        <v>2</v>
      </c>
      <c r="P24" s="56" t="s">
        <v>37</v>
      </c>
      <c r="Q24" s="56" t="s">
        <v>41</v>
      </c>
      <c r="R24" s="56" t="s">
        <v>55</v>
      </c>
      <c r="S24" s="56" t="s">
        <v>39</v>
      </c>
      <c r="T24" s="56" t="s">
        <v>42</v>
      </c>
      <c r="U24" s="56">
        <v>895</v>
      </c>
      <c r="V24" s="87"/>
      <c r="W24" s="65">
        <v>1990</v>
      </c>
      <c r="X24" s="53">
        <v>58.9</v>
      </c>
      <c r="Y24" s="53">
        <v>4.76</v>
      </c>
      <c r="Z24" s="53">
        <v>145</v>
      </c>
      <c r="AA24" s="53">
        <v>9.6</v>
      </c>
      <c r="AB24" s="53">
        <v>527</v>
      </c>
      <c r="AC24" s="53">
        <v>68.3</v>
      </c>
    </row>
    <row r="25" spans="1:29" ht="15" thickBot="1">
      <c r="A25" s="15">
        <v>1</v>
      </c>
      <c r="B25" s="16" t="s">
        <v>67</v>
      </c>
      <c r="C25" s="17">
        <v>2</v>
      </c>
      <c r="D25" s="157">
        <v>44160</v>
      </c>
      <c r="E25" s="111">
        <v>7.3</v>
      </c>
      <c r="F25" s="115">
        <v>1560</v>
      </c>
      <c r="G25" s="113">
        <v>2.6</v>
      </c>
      <c r="H25" s="114" t="s">
        <v>33</v>
      </c>
      <c r="I25" s="115">
        <v>14.5</v>
      </c>
      <c r="J25" s="115">
        <v>885</v>
      </c>
      <c r="K25" s="112" t="s">
        <v>34</v>
      </c>
      <c r="L25" s="115" t="s">
        <v>35</v>
      </c>
      <c r="M25" s="115" t="s">
        <v>36</v>
      </c>
      <c r="N25" s="116">
        <v>102</v>
      </c>
      <c r="O25" s="115">
        <v>5.0999999999999996</v>
      </c>
      <c r="P25" s="115" t="s">
        <v>37</v>
      </c>
      <c r="Q25" s="115">
        <v>50</v>
      </c>
      <c r="R25" s="115">
        <v>18.600000000000001</v>
      </c>
      <c r="S25" s="115">
        <v>0.01</v>
      </c>
      <c r="T25" s="115" t="s">
        <v>40</v>
      </c>
      <c r="U25" s="115">
        <v>364</v>
      </c>
      <c r="V25" s="71"/>
      <c r="W25" s="118">
        <v>1.2</v>
      </c>
      <c r="X25" s="112">
        <v>0.4</v>
      </c>
      <c r="Y25" s="112">
        <v>1.33</v>
      </c>
      <c r="Z25" s="112">
        <v>139</v>
      </c>
      <c r="AA25" s="112">
        <v>5.5</v>
      </c>
      <c r="AB25" s="112">
        <v>184</v>
      </c>
      <c r="AC25" s="112">
        <v>46.3</v>
      </c>
    </row>
    <row r="26" spans="1:29">
      <c r="A26" s="19">
        <v>2</v>
      </c>
      <c r="B26" s="20" t="s">
        <v>67</v>
      </c>
      <c r="C26" s="21">
        <v>3</v>
      </c>
      <c r="D26" s="168">
        <v>45792</v>
      </c>
      <c r="E26" s="74">
        <v>7.11</v>
      </c>
      <c r="F26" s="78">
        <v>1370</v>
      </c>
      <c r="G26" s="76">
        <v>2</v>
      </c>
      <c r="H26" s="77" t="s">
        <v>33</v>
      </c>
      <c r="I26" s="77">
        <v>12.1</v>
      </c>
      <c r="J26" s="78">
        <v>738</v>
      </c>
      <c r="K26" s="78" t="s">
        <v>34</v>
      </c>
      <c r="L26" s="78" t="s">
        <v>35</v>
      </c>
      <c r="M26" s="78" t="s">
        <v>36</v>
      </c>
      <c r="N26" s="120">
        <v>162</v>
      </c>
      <c r="O26" s="78">
        <v>0.8</v>
      </c>
      <c r="P26" s="78" t="s">
        <v>37</v>
      </c>
      <c r="Q26" s="78" t="s">
        <v>38</v>
      </c>
      <c r="R26" s="78">
        <v>5.5</v>
      </c>
      <c r="S26" s="78" t="s">
        <v>39</v>
      </c>
      <c r="T26" s="78" t="s">
        <v>40</v>
      </c>
      <c r="U26" s="78">
        <v>364</v>
      </c>
      <c r="V26" s="78"/>
      <c r="W26" s="200" t="s">
        <v>42</v>
      </c>
      <c r="X26" s="78">
        <v>4.8899999999999997</v>
      </c>
      <c r="Y26" s="78">
        <v>1.75</v>
      </c>
      <c r="Z26" s="78">
        <v>68.599999999999994</v>
      </c>
      <c r="AA26" s="78">
        <v>3.9</v>
      </c>
      <c r="AB26" s="78">
        <v>213</v>
      </c>
      <c r="AC26" s="78">
        <v>28.4</v>
      </c>
    </row>
    <row r="27" spans="1:29">
      <c r="A27" s="19">
        <v>2</v>
      </c>
      <c r="B27" s="20" t="s">
        <v>67</v>
      </c>
      <c r="C27" s="21">
        <v>3</v>
      </c>
      <c r="D27" s="168">
        <v>45328</v>
      </c>
      <c r="E27" s="74">
        <v>7.22</v>
      </c>
      <c r="F27" s="78">
        <v>1320</v>
      </c>
      <c r="G27" s="76">
        <v>1.7</v>
      </c>
      <c r="H27" s="77" t="s">
        <v>33</v>
      </c>
      <c r="I27" s="77">
        <v>11.7</v>
      </c>
      <c r="J27" s="78">
        <v>714</v>
      </c>
      <c r="K27" s="78" t="s">
        <v>34</v>
      </c>
      <c r="L27" s="78" t="s">
        <v>35</v>
      </c>
      <c r="M27" s="78" t="s">
        <v>36</v>
      </c>
      <c r="N27" s="120">
        <v>103</v>
      </c>
      <c r="O27" s="78">
        <v>0.7</v>
      </c>
      <c r="P27" s="78" t="s">
        <v>37</v>
      </c>
      <c r="Q27" s="78" t="s">
        <v>38</v>
      </c>
      <c r="R27" s="78">
        <v>3.2</v>
      </c>
      <c r="S27" s="78">
        <v>0.02</v>
      </c>
      <c r="T27" s="78" t="s">
        <v>40</v>
      </c>
      <c r="U27" s="78">
        <v>284</v>
      </c>
      <c r="V27" s="78"/>
      <c r="W27" s="200" t="s">
        <v>36</v>
      </c>
      <c r="X27" s="78">
        <v>11.3</v>
      </c>
      <c r="Y27" s="78">
        <v>1.63</v>
      </c>
      <c r="Z27" s="78">
        <v>96</v>
      </c>
      <c r="AA27" s="78">
        <v>3.1</v>
      </c>
      <c r="AB27" s="78">
        <v>168</v>
      </c>
      <c r="AC27" s="78">
        <v>21.3</v>
      </c>
    </row>
    <row r="28" spans="1:29">
      <c r="A28" s="11">
        <v>2</v>
      </c>
      <c r="B28" s="12" t="s">
        <v>67</v>
      </c>
      <c r="C28" s="13">
        <v>3</v>
      </c>
      <c r="D28" s="60">
        <v>45062</v>
      </c>
      <c r="E28" s="52">
        <v>7.06</v>
      </c>
      <c r="F28" s="56">
        <v>1250</v>
      </c>
      <c r="G28" s="54">
        <v>2.4</v>
      </c>
      <c r="H28" s="55" t="s">
        <v>33</v>
      </c>
      <c r="I28" s="55">
        <v>11.6</v>
      </c>
      <c r="J28" s="56">
        <v>708</v>
      </c>
      <c r="K28" s="56" t="s">
        <v>34</v>
      </c>
      <c r="L28" s="56" t="s">
        <v>35</v>
      </c>
      <c r="M28" s="56" t="s">
        <v>36</v>
      </c>
      <c r="N28" s="63">
        <v>110</v>
      </c>
      <c r="O28" s="56">
        <v>0.5</v>
      </c>
      <c r="P28" s="56" t="s">
        <v>37</v>
      </c>
      <c r="Q28" s="56" t="s">
        <v>38</v>
      </c>
      <c r="R28" s="56">
        <v>5.3</v>
      </c>
      <c r="S28" s="56" t="s">
        <v>39</v>
      </c>
      <c r="T28" s="56" t="s">
        <v>40</v>
      </c>
      <c r="U28" s="56">
        <v>348</v>
      </c>
      <c r="V28" s="56"/>
      <c r="W28" s="136" t="s">
        <v>33</v>
      </c>
      <c r="X28" s="56">
        <v>5.37</v>
      </c>
      <c r="Y28" s="56">
        <v>2.1800000000000002</v>
      </c>
      <c r="Z28" s="56">
        <v>59.4</v>
      </c>
      <c r="AA28" s="56">
        <v>3.6</v>
      </c>
      <c r="AB28" s="56">
        <v>206</v>
      </c>
      <c r="AC28" s="56">
        <v>26.1</v>
      </c>
    </row>
    <row r="29" spans="1:29">
      <c r="A29" s="11">
        <v>2</v>
      </c>
      <c r="B29" s="12" t="s">
        <v>67</v>
      </c>
      <c r="C29" s="13">
        <v>3</v>
      </c>
      <c r="D29" s="60">
        <v>44978</v>
      </c>
      <c r="E29" s="52">
        <v>6.97</v>
      </c>
      <c r="F29" s="56">
        <v>1410</v>
      </c>
      <c r="G29" s="54">
        <v>2.4</v>
      </c>
      <c r="H29" s="55" t="s">
        <v>33</v>
      </c>
      <c r="I29" s="55">
        <v>14</v>
      </c>
      <c r="J29" s="56">
        <v>854</v>
      </c>
      <c r="K29" s="56" t="s">
        <v>34</v>
      </c>
      <c r="L29" s="56" t="s">
        <v>35</v>
      </c>
      <c r="M29" s="56" t="s">
        <v>36</v>
      </c>
      <c r="N29" s="63">
        <v>115</v>
      </c>
      <c r="O29" s="56" t="s">
        <v>36</v>
      </c>
      <c r="P29" s="56" t="s">
        <v>37</v>
      </c>
      <c r="Q29" s="56" t="s">
        <v>38</v>
      </c>
      <c r="R29" s="56">
        <v>5.9</v>
      </c>
      <c r="S29" s="56" t="s">
        <v>39</v>
      </c>
      <c r="T29" s="56" t="s">
        <v>40</v>
      </c>
      <c r="U29" s="56">
        <v>407</v>
      </c>
      <c r="V29" s="56"/>
      <c r="W29" s="136" t="s">
        <v>36</v>
      </c>
      <c r="X29" s="56">
        <v>10.1</v>
      </c>
      <c r="Y29" s="56">
        <v>2.57</v>
      </c>
      <c r="Z29" s="56">
        <v>61.3</v>
      </c>
      <c r="AA29" s="56">
        <v>3.8</v>
      </c>
      <c r="AB29" s="56">
        <v>241</v>
      </c>
      <c r="AC29" s="56">
        <v>30.2</v>
      </c>
    </row>
    <row r="30" spans="1:29">
      <c r="A30" s="11">
        <v>2</v>
      </c>
      <c r="B30" s="12" t="s">
        <v>67</v>
      </c>
      <c r="C30" s="13">
        <v>3</v>
      </c>
      <c r="D30" s="60">
        <v>44880</v>
      </c>
      <c r="E30" s="52">
        <v>6.93</v>
      </c>
      <c r="F30" s="56">
        <v>1350</v>
      </c>
      <c r="G30" s="54">
        <v>5</v>
      </c>
      <c r="H30" s="55" t="s">
        <v>33</v>
      </c>
      <c r="I30" s="55">
        <v>13.4</v>
      </c>
      <c r="J30" s="56">
        <v>817</v>
      </c>
      <c r="K30" s="56" t="s">
        <v>34</v>
      </c>
      <c r="L30" s="56" t="s">
        <v>35</v>
      </c>
      <c r="M30" s="56" t="s">
        <v>35</v>
      </c>
      <c r="N30" s="63">
        <v>100</v>
      </c>
      <c r="O30" s="56" t="s">
        <v>35</v>
      </c>
      <c r="P30" s="56" t="s">
        <v>37</v>
      </c>
      <c r="Q30" s="56" t="s">
        <v>41</v>
      </c>
      <c r="R30" s="56">
        <v>4.9000000000000004</v>
      </c>
      <c r="S30" s="56" t="s">
        <v>39</v>
      </c>
      <c r="T30" s="56" t="s">
        <v>42</v>
      </c>
      <c r="U30" s="56">
        <v>419</v>
      </c>
      <c r="V30" s="56"/>
      <c r="W30" s="136">
        <v>1.2</v>
      </c>
      <c r="X30" s="56">
        <v>7.35</v>
      </c>
      <c r="Y30" s="56">
        <v>2.59</v>
      </c>
      <c r="Z30" s="56">
        <v>61.4</v>
      </c>
      <c r="AA30" s="56">
        <v>3.9</v>
      </c>
      <c r="AB30" s="56">
        <v>249</v>
      </c>
      <c r="AC30" s="56">
        <v>30.6</v>
      </c>
    </row>
    <row r="31" spans="1:29">
      <c r="A31" s="11">
        <v>2</v>
      </c>
      <c r="B31" s="12" t="s">
        <v>67</v>
      </c>
      <c r="C31" s="13">
        <v>3</v>
      </c>
      <c r="D31" s="60">
        <v>44747</v>
      </c>
      <c r="E31" s="52">
        <v>6.77</v>
      </c>
      <c r="F31" s="56">
        <v>1360</v>
      </c>
      <c r="G31" s="54">
        <v>2.8</v>
      </c>
      <c r="H31" s="55" t="s">
        <v>33</v>
      </c>
      <c r="I31" s="55">
        <v>12.3</v>
      </c>
      <c r="J31" s="56">
        <v>750</v>
      </c>
      <c r="K31" s="56" t="s">
        <v>34</v>
      </c>
      <c r="L31" s="56" t="s">
        <v>35</v>
      </c>
      <c r="M31" s="56" t="s">
        <v>36</v>
      </c>
      <c r="N31" s="63">
        <v>107</v>
      </c>
      <c r="O31" s="56">
        <v>0.5</v>
      </c>
      <c r="P31" s="56" t="s">
        <v>37</v>
      </c>
      <c r="Q31" s="56" t="s">
        <v>38</v>
      </c>
      <c r="R31" s="56">
        <v>7.7</v>
      </c>
      <c r="S31" s="56" t="s">
        <v>39</v>
      </c>
      <c r="T31" s="56" t="s">
        <v>40</v>
      </c>
      <c r="U31" s="56">
        <v>408</v>
      </c>
      <c r="V31" s="56"/>
      <c r="W31" s="136">
        <v>1</v>
      </c>
      <c r="X31" s="56">
        <v>12.4</v>
      </c>
      <c r="Y31" s="56">
        <v>2.56</v>
      </c>
      <c r="Z31" s="56">
        <v>56.5</v>
      </c>
      <c r="AA31" s="56">
        <v>5.2</v>
      </c>
      <c r="AB31" s="56">
        <v>246</v>
      </c>
      <c r="AC31" s="56">
        <v>27.7</v>
      </c>
    </row>
    <row r="32" spans="1:29">
      <c r="A32" s="11">
        <v>2</v>
      </c>
      <c r="B32" s="12" t="s">
        <v>67</v>
      </c>
      <c r="C32" s="13">
        <v>3</v>
      </c>
      <c r="D32" s="60">
        <v>44613</v>
      </c>
      <c r="E32" s="52">
        <v>6.91</v>
      </c>
      <c r="F32" s="56">
        <v>2400</v>
      </c>
      <c r="G32" s="54">
        <v>5</v>
      </c>
      <c r="H32" s="55" t="s">
        <v>33</v>
      </c>
      <c r="I32" s="55">
        <v>23.7</v>
      </c>
      <c r="J32" s="56">
        <v>1450</v>
      </c>
      <c r="K32" s="56" t="s">
        <v>34</v>
      </c>
      <c r="L32" s="56" t="s">
        <v>35</v>
      </c>
      <c r="M32" s="56" t="s">
        <v>35</v>
      </c>
      <c r="N32" s="63">
        <v>180</v>
      </c>
      <c r="O32" s="56" t="s">
        <v>35</v>
      </c>
      <c r="P32" s="56" t="s">
        <v>37</v>
      </c>
      <c r="Q32" s="56" t="s">
        <v>41</v>
      </c>
      <c r="R32" s="56">
        <v>12.2</v>
      </c>
      <c r="S32" s="56" t="s">
        <v>39</v>
      </c>
      <c r="T32" s="56" t="s">
        <v>42</v>
      </c>
      <c r="U32" s="56">
        <v>800</v>
      </c>
      <c r="V32" s="56"/>
      <c r="W32" s="136">
        <v>6.8</v>
      </c>
      <c r="X32" s="56">
        <v>64</v>
      </c>
      <c r="Y32" s="56">
        <v>4.8</v>
      </c>
      <c r="Z32" s="56">
        <v>80</v>
      </c>
      <c r="AA32" s="56">
        <v>6.2</v>
      </c>
      <c r="AB32" s="56">
        <v>483</v>
      </c>
      <c r="AC32" s="56">
        <v>53.8</v>
      </c>
    </row>
    <row r="33" spans="1:29">
      <c r="A33" s="11">
        <v>2</v>
      </c>
      <c r="B33" s="12" t="s">
        <v>67</v>
      </c>
      <c r="C33" s="13">
        <v>3</v>
      </c>
      <c r="D33" s="60">
        <v>44515</v>
      </c>
      <c r="E33" s="52">
        <v>6.74</v>
      </c>
      <c r="F33" s="56">
        <v>2620</v>
      </c>
      <c r="G33" s="54">
        <v>10</v>
      </c>
      <c r="H33" s="55" t="s">
        <v>33</v>
      </c>
      <c r="I33" s="55">
        <v>26.1</v>
      </c>
      <c r="J33" s="56">
        <v>1590</v>
      </c>
      <c r="K33" s="56" t="s">
        <v>34</v>
      </c>
      <c r="L33" s="56" t="s">
        <v>35</v>
      </c>
      <c r="M33" s="56" t="s">
        <v>35</v>
      </c>
      <c r="N33" s="63">
        <v>230</v>
      </c>
      <c r="O33" s="56" t="s">
        <v>35</v>
      </c>
      <c r="P33" s="56" t="s">
        <v>37</v>
      </c>
      <c r="Q33" s="56" t="s">
        <v>41</v>
      </c>
      <c r="R33" s="56">
        <v>14</v>
      </c>
      <c r="S33" s="56" t="s">
        <v>39</v>
      </c>
      <c r="T33" s="56" t="s">
        <v>42</v>
      </c>
      <c r="U33" s="56">
        <v>835</v>
      </c>
      <c r="V33" s="56"/>
      <c r="W33" s="136">
        <v>28.8</v>
      </c>
      <c r="X33" s="56">
        <v>67.8</v>
      </c>
      <c r="Y33" s="56">
        <v>5.27</v>
      </c>
      <c r="Z33" s="56">
        <v>76.8</v>
      </c>
      <c r="AA33" s="56">
        <v>7.4</v>
      </c>
      <c r="AB33" s="56">
        <v>505</v>
      </c>
      <c r="AC33" s="56">
        <v>55.5</v>
      </c>
    </row>
    <row r="34" spans="1:29">
      <c r="A34" s="11">
        <v>2</v>
      </c>
      <c r="B34" s="12" t="s">
        <v>67</v>
      </c>
      <c r="C34" s="13">
        <v>3</v>
      </c>
      <c r="D34" s="60">
        <v>44431</v>
      </c>
      <c r="E34" s="52">
        <v>6.85</v>
      </c>
      <c r="F34" s="56">
        <v>25700</v>
      </c>
      <c r="G34" s="54">
        <v>26</v>
      </c>
      <c r="H34" s="55" t="s">
        <v>33</v>
      </c>
      <c r="I34" s="55">
        <v>31.3</v>
      </c>
      <c r="J34" s="56">
        <v>1910</v>
      </c>
      <c r="K34" s="56" t="s">
        <v>34</v>
      </c>
      <c r="L34" s="56" t="s">
        <v>35</v>
      </c>
      <c r="M34" s="56" t="s">
        <v>35</v>
      </c>
      <c r="N34" s="63">
        <v>180</v>
      </c>
      <c r="O34" s="56" t="s">
        <v>35</v>
      </c>
      <c r="P34" s="56" t="s">
        <v>48</v>
      </c>
      <c r="Q34" s="56" t="s">
        <v>41</v>
      </c>
      <c r="R34" s="56">
        <v>16</v>
      </c>
      <c r="S34" s="56" t="s">
        <v>39</v>
      </c>
      <c r="T34" s="56" t="s">
        <v>42</v>
      </c>
      <c r="U34" s="56">
        <v>836</v>
      </c>
      <c r="V34" s="56"/>
      <c r="W34" s="136">
        <v>30.9</v>
      </c>
      <c r="X34" s="56">
        <v>64.900000000000006</v>
      </c>
      <c r="Y34" s="56">
        <v>5.92</v>
      </c>
      <c r="Z34" s="56">
        <v>76</v>
      </c>
      <c r="AA34" s="56">
        <v>9.1999999999999993</v>
      </c>
      <c r="AB34" s="56">
        <v>509</v>
      </c>
      <c r="AC34" s="56">
        <v>53.7</v>
      </c>
    </row>
    <row r="35" spans="1:29">
      <c r="A35" s="11">
        <v>2</v>
      </c>
      <c r="B35" s="12" t="s">
        <v>67</v>
      </c>
      <c r="C35" s="13">
        <v>3</v>
      </c>
      <c r="D35" s="169" t="s">
        <v>3</v>
      </c>
      <c r="E35" s="52">
        <v>5.16</v>
      </c>
      <c r="F35" s="56">
        <v>3950</v>
      </c>
      <c r="G35" s="54">
        <v>400</v>
      </c>
      <c r="H35" s="55" t="s">
        <v>33</v>
      </c>
      <c r="I35" s="55">
        <v>26.6</v>
      </c>
      <c r="J35" s="56">
        <v>1620</v>
      </c>
      <c r="K35" s="56" t="s">
        <v>34</v>
      </c>
      <c r="L35" s="56" t="s">
        <v>35</v>
      </c>
      <c r="M35" s="56" t="s">
        <v>36</v>
      </c>
      <c r="N35" s="63">
        <v>213</v>
      </c>
      <c r="O35" s="56" t="s">
        <v>36</v>
      </c>
      <c r="P35" s="56">
        <v>4.01</v>
      </c>
      <c r="Q35" s="56" t="s">
        <v>38</v>
      </c>
      <c r="R35" s="56" t="s">
        <v>35</v>
      </c>
      <c r="S35" s="56" t="s">
        <v>39</v>
      </c>
      <c r="T35" s="56" t="s">
        <v>40</v>
      </c>
      <c r="U35" s="56">
        <v>1520</v>
      </c>
      <c r="V35" s="56"/>
      <c r="W35" s="136">
        <v>279</v>
      </c>
      <c r="X35" s="56">
        <v>138</v>
      </c>
      <c r="Y35" s="56">
        <v>11</v>
      </c>
      <c r="Z35" s="56">
        <v>85.9</v>
      </c>
      <c r="AA35" s="56">
        <v>26.1</v>
      </c>
      <c r="AB35" s="56">
        <v>948</v>
      </c>
      <c r="AC35" s="56">
        <v>82.1</v>
      </c>
    </row>
    <row r="36" spans="1:29">
      <c r="A36" s="11">
        <v>2</v>
      </c>
      <c r="B36" s="12" t="s">
        <v>67</v>
      </c>
      <c r="C36" s="13">
        <v>3</v>
      </c>
      <c r="D36" s="60">
        <v>44312</v>
      </c>
      <c r="E36" s="52">
        <v>4.8099999999999996</v>
      </c>
      <c r="F36" s="56">
        <v>2760</v>
      </c>
      <c r="G36" s="54">
        <v>5700</v>
      </c>
      <c r="H36" s="55" t="s">
        <v>33</v>
      </c>
      <c r="I36" s="55">
        <v>11.8</v>
      </c>
      <c r="J36" s="56">
        <v>720</v>
      </c>
      <c r="K36" s="56" t="s">
        <v>34</v>
      </c>
      <c r="L36" s="56" t="s">
        <v>35</v>
      </c>
      <c r="M36" s="56" t="s">
        <v>35</v>
      </c>
      <c r="N36" s="219">
        <v>160</v>
      </c>
      <c r="O36" s="56" t="s">
        <v>35</v>
      </c>
      <c r="P36" s="56">
        <v>4.75</v>
      </c>
      <c r="Q36" s="56" t="s">
        <v>41</v>
      </c>
      <c r="R36" s="56" t="s">
        <v>46</v>
      </c>
      <c r="S36" s="56" t="s">
        <v>39</v>
      </c>
      <c r="T36" s="56" t="s">
        <v>42</v>
      </c>
      <c r="U36" s="56">
        <v>1020</v>
      </c>
      <c r="V36" s="56"/>
      <c r="W36" s="136">
        <v>398</v>
      </c>
      <c r="X36" s="56">
        <v>80.3</v>
      </c>
      <c r="Y36" s="56">
        <v>7.25</v>
      </c>
      <c r="Z36" s="56">
        <v>62.9</v>
      </c>
      <c r="AA36" s="56">
        <v>32.700000000000003</v>
      </c>
      <c r="AB36" s="56">
        <v>611</v>
      </c>
      <c r="AC36" s="56">
        <v>69.7</v>
      </c>
    </row>
    <row r="37" spans="1:29" ht="15" thickBot="1">
      <c r="A37" s="24">
        <v>2</v>
      </c>
      <c r="B37" s="25" t="s">
        <v>67</v>
      </c>
      <c r="C37" s="26">
        <v>3</v>
      </c>
      <c r="D37" s="142">
        <v>44159</v>
      </c>
      <c r="E37" s="144">
        <v>8.11</v>
      </c>
      <c r="F37" s="145">
        <v>674</v>
      </c>
      <c r="G37" s="190">
        <v>1.8</v>
      </c>
      <c r="H37" s="191" t="s">
        <v>33</v>
      </c>
      <c r="I37" s="191">
        <v>6.6</v>
      </c>
      <c r="J37" s="145">
        <v>403</v>
      </c>
      <c r="K37" s="145" t="s">
        <v>34</v>
      </c>
      <c r="L37" s="192" t="s">
        <v>35</v>
      </c>
      <c r="M37" s="145" t="s">
        <v>36</v>
      </c>
      <c r="N37" s="220">
        <v>40</v>
      </c>
      <c r="O37" s="145" t="s">
        <v>36</v>
      </c>
      <c r="P37" s="145">
        <v>0.4</v>
      </c>
      <c r="Q37" s="145" t="s">
        <v>38</v>
      </c>
      <c r="R37" s="145">
        <v>1.3</v>
      </c>
      <c r="S37" s="145" t="s">
        <v>39</v>
      </c>
      <c r="T37" s="145" t="s">
        <v>40</v>
      </c>
      <c r="U37" s="145">
        <v>130</v>
      </c>
      <c r="V37" s="107"/>
      <c r="W37" s="148">
        <v>3</v>
      </c>
      <c r="X37" s="192">
        <v>0.44</v>
      </c>
      <c r="Y37" s="192">
        <v>0.51</v>
      </c>
      <c r="Z37" s="192">
        <v>82.4</v>
      </c>
      <c r="AA37" s="192">
        <v>2.2999999999999998</v>
      </c>
      <c r="AB37" s="192">
        <v>70.7</v>
      </c>
      <c r="AC37" s="192">
        <v>13.4</v>
      </c>
    </row>
    <row r="38" spans="1:29">
      <c r="A38" s="7">
        <v>2</v>
      </c>
      <c r="B38" s="8" t="s">
        <v>67</v>
      </c>
      <c r="C38" s="9">
        <v>4</v>
      </c>
      <c r="D38" s="131">
        <v>45783</v>
      </c>
      <c r="E38" s="44">
        <v>7.22</v>
      </c>
      <c r="F38" s="48">
        <v>1370</v>
      </c>
      <c r="G38" s="46">
        <v>3.1</v>
      </c>
      <c r="H38" s="47" t="s">
        <v>33</v>
      </c>
      <c r="I38" s="47">
        <v>11.5</v>
      </c>
      <c r="J38" s="48">
        <v>702</v>
      </c>
      <c r="K38" s="48" t="s">
        <v>34</v>
      </c>
      <c r="L38" s="48" t="s">
        <v>35</v>
      </c>
      <c r="M38" s="48" t="s">
        <v>36</v>
      </c>
      <c r="N38" s="221">
        <v>151</v>
      </c>
      <c r="O38" s="48">
        <v>0.8</v>
      </c>
      <c r="P38" s="48" t="s">
        <v>37</v>
      </c>
      <c r="Q38" s="48" t="s">
        <v>38</v>
      </c>
      <c r="R38" s="48">
        <v>5.6</v>
      </c>
      <c r="S38" s="48" t="s">
        <v>39</v>
      </c>
      <c r="T38" s="48" t="s">
        <v>40</v>
      </c>
      <c r="U38" s="48">
        <v>372</v>
      </c>
      <c r="V38" s="48"/>
      <c r="W38" s="133" t="s">
        <v>42</v>
      </c>
      <c r="X38" s="48">
        <v>15.3</v>
      </c>
      <c r="Y38" s="48">
        <v>2.0299999999999998</v>
      </c>
      <c r="Z38" s="48">
        <v>66.599999999999994</v>
      </c>
      <c r="AA38" s="48">
        <v>3.1</v>
      </c>
      <c r="AB38" s="48">
        <v>218</v>
      </c>
      <c r="AC38" s="48">
        <v>29.1</v>
      </c>
    </row>
    <row r="39" spans="1:29">
      <c r="A39" s="11">
        <v>2</v>
      </c>
      <c r="B39" s="12" t="s">
        <v>67</v>
      </c>
      <c r="C39" s="13">
        <v>4</v>
      </c>
      <c r="D39" s="60">
        <v>45567</v>
      </c>
      <c r="E39" s="52">
        <v>6.89</v>
      </c>
      <c r="F39" s="56">
        <v>1460</v>
      </c>
      <c r="G39" s="54">
        <v>2.6</v>
      </c>
      <c r="H39" s="55" t="s">
        <v>33</v>
      </c>
      <c r="I39" s="55">
        <v>20.5</v>
      </c>
      <c r="J39" s="56">
        <v>1250</v>
      </c>
      <c r="K39" s="56" t="s">
        <v>34</v>
      </c>
      <c r="L39" s="56" t="s">
        <v>35</v>
      </c>
      <c r="M39" s="56" t="s">
        <v>36</v>
      </c>
      <c r="N39" s="219">
        <v>175</v>
      </c>
      <c r="O39" s="56">
        <v>0.7</v>
      </c>
      <c r="P39" s="56" t="s">
        <v>37</v>
      </c>
      <c r="Q39" s="56" t="s">
        <v>38</v>
      </c>
      <c r="R39" s="56">
        <v>4</v>
      </c>
      <c r="S39" s="56" t="s">
        <v>39</v>
      </c>
      <c r="T39" s="56" t="s">
        <v>40</v>
      </c>
      <c r="U39" s="56">
        <v>378</v>
      </c>
      <c r="V39" s="56"/>
      <c r="W39" s="136" t="s">
        <v>42</v>
      </c>
      <c r="X39" s="56">
        <v>7.66</v>
      </c>
      <c r="Y39" s="56">
        <v>2.08</v>
      </c>
      <c r="Z39" s="56">
        <v>55.3</v>
      </c>
      <c r="AA39" s="56">
        <v>3</v>
      </c>
      <c r="AB39" s="56">
        <v>221</v>
      </c>
      <c r="AC39" s="56">
        <v>29.6</v>
      </c>
    </row>
    <row r="40" spans="1:29">
      <c r="A40" s="11">
        <v>2</v>
      </c>
      <c r="B40" s="12" t="s">
        <v>67</v>
      </c>
      <c r="C40" s="13">
        <v>4</v>
      </c>
      <c r="D40" s="60">
        <v>45510</v>
      </c>
      <c r="E40" s="52">
        <v>7.16</v>
      </c>
      <c r="F40" s="56">
        <v>1630</v>
      </c>
      <c r="G40" s="54">
        <v>2.5</v>
      </c>
      <c r="H40" s="55" t="s">
        <v>33</v>
      </c>
      <c r="I40" s="55">
        <v>11.8</v>
      </c>
      <c r="J40" s="56">
        <v>720</v>
      </c>
      <c r="K40" s="56" t="s">
        <v>34</v>
      </c>
      <c r="L40" s="56" t="s">
        <v>35</v>
      </c>
      <c r="M40" s="56" t="s">
        <v>36</v>
      </c>
      <c r="N40" s="219">
        <v>181</v>
      </c>
      <c r="O40" s="56">
        <v>0.7</v>
      </c>
      <c r="P40" s="56" t="s">
        <v>37</v>
      </c>
      <c r="Q40" s="56" t="s">
        <v>38</v>
      </c>
      <c r="R40" s="56">
        <v>3.6</v>
      </c>
      <c r="S40" s="56" t="s">
        <v>39</v>
      </c>
      <c r="T40" s="56" t="s">
        <v>40</v>
      </c>
      <c r="U40" s="56">
        <v>425</v>
      </c>
      <c r="V40" s="56"/>
      <c r="W40" s="136" t="s">
        <v>46</v>
      </c>
      <c r="X40" s="56">
        <v>14.2</v>
      </c>
      <c r="Y40" s="56">
        <v>2.5499999999999998</v>
      </c>
      <c r="Z40" s="56">
        <v>55.9</v>
      </c>
      <c r="AA40" s="56">
        <v>2.9</v>
      </c>
      <c r="AB40" s="56">
        <v>250</v>
      </c>
      <c r="AC40" s="56">
        <v>32.6</v>
      </c>
    </row>
    <row r="41" spans="1:29">
      <c r="A41" s="11">
        <v>2</v>
      </c>
      <c r="B41" s="12" t="s">
        <v>67</v>
      </c>
      <c r="C41" s="13">
        <v>4</v>
      </c>
      <c r="D41" s="60">
        <v>45426</v>
      </c>
      <c r="E41" s="52">
        <v>7.44</v>
      </c>
      <c r="F41" s="56">
        <v>1410</v>
      </c>
      <c r="G41" s="54">
        <v>2.2999999999999998</v>
      </c>
      <c r="H41" s="55" t="s">
        <v>33</v>
      </c>
      <c r="I41" s="55">
        <v>11.1</v>
      </c>
      <c r="J41" s="56">
        <v>677</v>
      </c>
      <c r="K41" s="56" t="s">
        <v>34</v>
      </c>
      <c r="L41" s="56" t="s">
        <v>35</v>
      </c>
      <c r="M41" s="56" t="s">
        <v>36</v>
      </c>
      <c r="N41" s="219">
        <v>172</v>
      </c>
      <c r="O41" s="56">
        <v>0.5</v>
      </c>
      <c r="P41" s="56" t="s">
        <v>37</v>
      </c>
      <c r="Q41" s="56" t="s">
        <v>38</v>
      </c>
      <c r="R41" s="56">
        <v>4.4000000000000004</v>
      </c>
      <c r="S41" s="56">
        <v>0.03</v>
      </c>
      <c r="T41" s="56" t="s">
        <v>40</v>
      </c>
      <c r="U41" s="56">
        <v>384</v>
      </c>
      <c r="V41" s="56"/>
      <c r="W41" s="136">
        <v>3</v>
      </c>
      <c r="X41" s="56">
        <v>16.3</v>
      </c>
      <c r="Y41" s="56">
        <v>2.61</v>
      </c>
      <c r="Z41" s="56">
        <v>57</v>
      </c>
      <c r="AA41" s="56">
        <v>3.4</v>
      </c>
      <c r="AB41" s="56">
        <v>227</v>
      </c>
      <c r="AC41" s="56">
        <v>28.9</v>
      </c>
    </row>
    <row r="42" spans="1:29">
      <c r="A42" s="11">
        <v>2</v>
      </c>
      <c r="B42" s="12" t="s">
        <v>67</v>
      </c>
      <c r="C42" s="13">
        <v>4</v>
      </c>
      <c r="D42" s="60">
        <v>45244</v>
      </c>
      <c r="E42" s="52">
        <v>6.89</v>
      </c>
      <c r="F42" s="56">
        <v>1250</v>
      </c>
      <c r="G42" s="54">
        <v>2.5</v>
      </c>
      <c r="H42" s="55" t="s">
        <v>33</v>
      </c>
      <c r="I42" s="55">
        <v>12.1</v>
      </c>
      <c r="J42" s="56">
        <v>738</v>
      </c>
      <c r="K42" s="56" t="s">
        <v>34</v>
      </c>
      <c r="L42" s="56" t="s">
        <v>35</v>
      </c>
      <c r="M42" s="56" t="s">
        <v>36</v>
      </c>
      <c r="N42" s="219">
        <v>107</v>
      </c>
      <c r="O42" s="56">
        <v>0.6</v>
      </c>
      <c r="P42" s="56" t="s">
        <v>37</v>
      </c>
      <c r="Q42" s="56" t="s">
        <v>38</v>
      </c>
      <c r="R42" s="56">
        <v>4.5</v>
      </c>
      <c r="S42" s="56" t="s">
        <v>39</v>
      </c>
      <c r="T42" s="56" t="s">
        <v>40</v>
      </c>
      <c r="U42" s="56">
        <v>331</v>
      </c>
      <c r="V42" s="56"/>
      <c r="W42" s="136" t="s">
        <v>36</v>
      </c>
      <c r="X42" s="56">
        <v>4.6500000000000004</v>
      </c>
      <c r="Y42" s="56">
        <v>2.16</v>
      </c>
      <c r="Z42" s="56">
        <v>77.599999999999994</v>
      </c>
      <c r="AA42" s="56">
        <v>5.2</v>
      </c>
      <c r="AB42" s="56">
        <v>196</v>
      </c>
      <c r="AC42" s="56">
        <v>24.5</v>
      </c>
    </row>
    <row r="43" spans="1:29">
      <c r="A43" s="11">
        <v>2</v>
      </c>
      <c r="B43" s="12" t="s">
        <v>67</v>
      </c>
      <c r="C43" s="13">
        <v>4</v>
      </c>
      <c r="D43" s="60">
        <v>45160</v>
      </c>
      <c r="E43" s="52">
        <v>6.97</v>
      </c>
      <c r="F43" s="56">
        <v>1180</v>
      </c>
      <c r="G43" s="54">
        <v>2.2999999999999998</v>
      </c>
      <c r="H43" s="55" t="s">
        <v>33</v>
      </c>
      <c r="I43" s="55">
        <v>10.7</v>
      </c>
      <c r="J43" s="56">
        <v>653</v>
      </c>
      <c r="K43" s="56" t="s">
        <v>34</v>
      </c>
      <c r="L43" s="56" t="s">
        <v>35</v>
      </c>
      <c r="M43" s="56" t="s">
        <v>36</v>
      </c>
      <c r="N43" s="219">
        <v>97</v>
      </c>
      <c r="O43" s="56">
        <v>0.5</v>
      </c>
      <c r="P43" s="56" t="s">
        <v>37</v>
      </c>
      <c r="Q43" s="56" t="s">
        <v>38</v>
      </c>
      <c r="R43" s="56">
        <v>5.5</v>
      </c>
      <c r="S43" s="56" t="s">
        <v>39</v>
      </c>
      <c r="T43" s="56" t="s">
        <v>40</v>
      </c>
      <c r="U43" s="56">
        <v>300</v>
      </c>
      <c r="V43" s="56"/>
      <c r="W43" s="136" t="s">
        <v>36</v>
      </c>
      <c r="X43" s="56">
        <v>4.3899999999999997</v>
      </c>
      <c r="Y43" s="56">
        <v>1.96</v>
      </c>
      <c r="Z43" s="56">
        <v>74.3</v>
      </c>
      <c r="AA43" s="56">
        <v>5.0999999999999996</v>
      </c>
      <c r="AB43" s="56">
        <v>177</v>
      </c>
      <c r="AC43" s="56">
        <v>22.6</v>
      </c>
    </row>
    <row r="44" spans="1:29">
      <c r="A44" s="11">
        <v>2</v>
      </c>
      <c r="B44" s="12" t="s">
        <v>67</v>
      </c>
      <c r="C44" s="13">
        <v>4</v>
      </c>
      <c r="D44" s="60">
        <v>44249</v>
      </c>
      <c r="E44" s="52">
        <v>5.74</v>
      </c>
      <c r="F44" s="56">
        <v>1560</v>
      </c>
      <c r="G44" s="54">
        <v>260</v>
      </c>
      <c r="H44" s="55" t="s">
        <v>33</v>
      </c>
      <c r="I44" s="55">
        <v>8.8000000000000007</v>
      </c>
      <c r="J44" s="56">
        <v>537</v>
      </c>
      <c r="K44" s="56" t="s">
        <v>34</v>
      </c>
      <c r="L44" s="56" t="s">
        <v>35</v>
      </c>
      <c r="M44" s="56" t="s">
        <v>36</v>
      </c>
      <c r="N44" s="219">
        <v>191</v>
      </c>
      <c r="O44" s="56">
        <v>0.6</v>
      </c>
      <c r="P44" s="56">
        <v>0.43</v>
      </c>
      <c r="Q44" s="56" t="s">
        <v>38</v>
      </c>
      <c r="R44" s="56">
        <v>1.9</v>
      </c>
      <c r="S44" s="56" t="s">
        <v>39</v>
      </c>
      <c r="T44" s="56" t="s">
        <v>40</v>
      </c>
      <c r="U44" s="56">
        <v>487</v>
      </c>
      <c r="V44" s="56"/>
      <c r="W44" s="136">
        <v>153</v>
      </c>
      <c r="X44" s="56">
        <v>12.2</v>
      </c>
      <c r="Y44" s="56">
        <v>2.5299999999999998</v>
      </c>
      <c r="Z44" s="56">
        <v>52.7</v>
      </c>
      <c r="AA44" s="56">
        <v>6</v>
      </c>
      <c r="AB44" s="56">
        <v>288</v>
      </c>
      <c r="AC44" s="56">
        <v>36.5</v>
      </c>
    </row>
    <row r="45" spans="1:29">
      <c r="A45" s="11">
        <v>2</v>
      </c>
      <c r="B45" s="12" t="s">
        <v>67</v>
      </c>
      <c r="C45" s="13">
        <v>4</v>
      </c>
      <c r="D45" s="60">
        <v>44217</v>
      </c>
      <c r="E45" s="52">
        <v>4.88</v>
      </c>
      <c r="F45" s="56">
        <v>1630</v>
      </c>
      <c r="G45" s="54">
        <v>380</v>
      </c>
      <c r="H45" s="55" t="s">
        <v>33</v>
      </c>
      <c r="I45" s="55">
        <v>1.8</v>
      </c>
      <c r="J45" s="56">
        <v>110</v>
      </c>
      <c r="K45" s="56" t="s">
        <v>34</v>
      </c>
      <c r="L45" s="56" t="s">
        <v>35</v>
      </c>
      <c r="M45" s="56" t="s">
        <v>35</v>
      </c>
      <c r="N45" s="219">
        <v>210</v>
      </c>
      <c r="O45" s="56" t="s">
        <v>35</v>
      </c>
      <c r="P45" s="56">
        <v>0.55000000000000004</v>
      </c>
      <c r="Q45" s="56" t="s">
        <v>41</v>
      </c>
      <c r="R45" s="56">
        <v>0.61</v>
      </c>
      <c r="S45" s="56" t="s">
        <v>39</v>
      </c>
      <c r="T45" s="56" t="s">
        <v>42</v>
      </c>
      <c r="U45" s="56">
        <v>513</v>
      </c>
      <c r="V45" s="56"/>
      <c r="W45" s="136">
        <v>461</v>
      </c>
      <c r="X45" s="56">
        <v>18.8</v>
      </c>
      <c r="Y45" s="56">
        <v>2.74</v>
      </c>
      <c r="Z45" s="56">
        <v>51.6</v>
      </c>
      <c r="AA45" s="56">
        <v>4.8</v>
      </c>
      <c r="AB45" s="56">
        <v>306</v>
      </c>
      <c r="AC45" s="56">
        <v>36.9</v>
      </c>
    </row>
    <row r="46" spans="1:29">
      <c r="A46" s="11">
        <v>2</v>
      </c>
      <c r="B46" s="12" t="s">
        <v>67</v>
      </c>
      <c r="C46" s="13">
        <v>4</v>
      </c>
      <c r="D46" s="60">
        <v>44186</v>
      </c>
      <c r="E46" s="52">
        <v>6.24</v>
      </c>
      <c r="F46" s="56">
        <v>1670</v>
      </c>
      <c r="G46" s="54">
        <v>680</v>
      </c>
      <c r="H46" s="55" t="s">
        <v>33</v>
      </c>
      <c r="I46" s="55">
        <v>8.5</v>
      </c>
      <c r="J46" s="56">
        <v>519</v>
      </c>
      <c r="K46" s="56" t="s">
        <v>34</v>
      </c>
      <c r="L46" s="53" t="s">
        <v>35</v>
      </c>
      <c r="M46" s="56" t="s">
        <v>35</v>
      </c>
      <c r="N46" s="219">
        <v>220</v>
      </c>
      <c r="O46" s="56" t="s">
        <v>35</v>
      </c>
      <c r="P46" s="56">
        <v>0.15</v>
      </c>
      <c r="Q46" s="56" t="s">
        <v>41</v>
      </c>
      <c r="R46" s="56">
        <v>0.8</v>
      </c>
      <c r="S46" s="56">
        <v>0.02</v>
      </c>
      <c r="T46" s="56" t="s">
        <v>42</v>
      </c>
      <c r="U46" s="56">
        <v>523</v>
      </c>
      <c r="V46" s="87"/>
      <c r="W46" s="136">
        <v>1580</v>
      </c>
      <c r="X46" s="53">
        <v>15</v>
      </c>
      <c r="Y46" s="53">
        <v>2.39</v>
      </c>
      <c r="Z46" s="53">
        <v>49.3</v>
      </c>
      <c r="AA46" s="53">
        <v>6.9</v>
      </c>
      <c r="AB46" s="53">
        <v>320</v>
      </c>
      <c r="AC46" s="53">
        <v>32.5</v>
      </c>
    </row>
    <row r="47" spans="1:29" ht="15" thickBot="1">
      <c r="A47" s="15">
        <v>2</v>
      </c>
      <c r="B47" s="16" t="s">
        <v>67</v>
      </c>
      <c r="C47" s="17">
        <v>4</v>
      </c>
      <c r="D47" s="157">
        <v>44168</v>
      </c>
      <c r="E47" s="111">
        <v>7.41</v>
      </c>
      <c r="F47" s="115">
        <v>1400</v>
      </c>
      <c r="G47" s="113">
        <v>1.8</v>
      </c>
      <c r="H47" s="114" t="s">
        <v>33</v>
      </c>
      <c r="I47" s="114">
        <v>8.1</v>
      </c>
      <c r="J47" s="115">
        <v>494</v>
      </c>
      <c r="K47" s="115" t="s">
        <v>34</v>
      </c>
      <c r="L47" s="112" t="s">
        <v>35</v>
      </c>
      <c r="M47" s="115" t="s">
        <v>36</v>
      </c>
      <c r="N47" s="222">
        <v>232</v>
      </c>
      <c r="O47" s="115">
        <v>0.5</v>
      </c>
      <c r="P47" s="115">
        <v>0.15</v>
      </c>
      <c r="Q47" s="115">
        <v>30</v>
      </c>
      <c r="R47" s="115">
        <v>2.9</v>
      </c>
      <c r="S47" s="115">
        <v>0.02</v>
      </c>
      <c r="T47" s="115" t="s">
        <v>40</v>
      </c>
      <c r="U47" s="115">
        <v>378</v>
      </c>
      <c r="V47" s="71"/>
      <c r="W47" s="160">
        <v>1</v>
      </c>
      <c r="X47" s="112">
        <v>0.52</v>
      </c>
      <c r="Y47" s="112">
        <v>1.43</v>
      </c>
      <c r="Z47" s="112">
        <v>53.9</v>
      </c>
      <c r="AA47" s="112">
        <v>3.1</v>
      </c>
      <c r="AB47" s="112">
        <v>218</v>
      </c>
      <c r="AC47" s="112">
        <v>31.6</v>
      </c>
    </row>
    <row r="48" spans="1:29">
      <c r="A48" s="11">
        <v>3</v>
      </c>
      <c r="B48" s="12" t="s">
        <v>67</v>
      </c>
      <c r="C48" s="13">
        <v>5</v>
      </c>
      <c r="D48" s="142">
        <v>46085</v>
      </c>
      <c r="E48" s="144"/>
      <c r="F48" s="145"/>
      <c r="G48" s="190"/>
      <c r="H48" s="191"/>
      <c r="I48" s="191"/>
      <c r="J48" s="145"/>
      <c r="K48" s="145"/>
      <c r="L48" s="192"/>
      <c r="M48" s="145"/>
      <c r="N48" s="220">
        <v>666</v>
      </c>
      <c r="O48" s="145"/>
      <c r="P48" s="145"/>
      <c r="Q48" s="145"/>
      <c r="R48" s="145"/>
      <c r="S48" s="145"/>
      <c r="T48" s="145"/>
      <c r="U48" s="145"/>
      <c r="V48" s="107"/>
      <c r="W48" s="148" t="s">
        <v>42</v>
      </c>
      <c r="X48" s="192"/>
      <c r="Y48" s="192"/>
      <c r="Z48" s="192"/>
      <c r="AA48" s="192"/>
      <c r="AB48" s="192"/>
      <c r="AC48" s="192"/>
    </row>
    <row r="49" spans="1:29">
      <c r="A49" s="11">
        <v>3</v>
      </c>
      <c r="B49" s="12" t="s">
        <v>67</v>
      </c>
      <c r="C49" s="13">
        <v>5</v>
      </c>
      <c r="D49" s="60">
        <v>45971</v>
      </c>
      <c r="E49" s="52">
        <v>6.61</v>
      </c>
      <c r="F49" s="56">
        <v>3690</v>
      </c>
      <c r="G49" s="54">
        <v>150</v>
      </c>
      <c r="H49" s="55" t="s">
        <v>33</v>
      </c>
      <c r="I49" s="55">
        <v>15.3</v>
      </c>
      <c r="J49" s="56">
        <v>933</v>
      </c>
      <c r="K49" s="56" t="s">
        <v>34</v>
      </c>
      <c r="L49" s="56" t="s">
        <v>35</v>
      </c>
      <c r="M49" s="56" t="s">
        <v>36</v>
      </c>
      <c r="N49" s="219">
        <v>954</v>
      </c>
      <c r="O49" s="56">
        <v>1.4</v>
      </c>
      <c r="P49" s="56" t="s">
        <v>37</v>
      </c>
      <c r="Q49" s="56" t="s">
        <v>38</v>
      </c>
      <c r="R49" s="56">
        <v>6.8</v>
      </c>
      <c r="S49" s="56">
        <v>0.04</v>
      </c>
      <c r="T49" s="56" t="s">
        <v>40</v>
      </c>
      <c r="U49" s="56">
        <v>1020</v>
      </c>
      <c r="V49" s="56"/>
      <c r="W49" s="136" t="s">
        <v>42</v>
      </c>
      <c r="X49" s="56">
        <v>53.5</v>
      </c>
      <c r="Y49" s="56">
        <v>9.75</v>
      </c>
      <c r="Z49" s="56">
        <v>91.7</v>
      </c>
      <c r="AA49" s="56">
        <v>6</v>
      </c>
      <c r="AB49" s="56">
        <v>598</v>
      </c>
      <c r="AC49" s="56">
        <v>79.7</v>
      </c>
    </row>
    <row r="50" spans="1:29">
      <c r="A50" s="11">
        <v>3</v>
      </c>
      <c r="B50" s="12" t="s">
        <v>67</v>
      </c>
      <c r="C50" s="13">
        <v>5</v>
      </c>
      <c r="D50" s="60">
        <v>45895</v>
      </c>
      <c r="E50" s="52"/>
      <c r="F50" s="56"/>
      <c r="G50" s="54"/>
      <c r="H50" s="55"/>
      <c r="I50" s="55"/>
      <c r="J50" s="56"/>
      <c r="K50" s="56"/>
      <c r="L50" s="56"/>
      <c r="M50" s="56"/>
      <c r="N50" s="219">
        <v>961</v>
      </c>
      <c r="O50" s="56"/>
      <c r="P50" s="56"/>
      <c r="Q50" s="56"/>
      <c r="R50" s="56"/>
      <c r="S50" s="56"/>
      <c r="T50" s="56"/>
      <c r="U50" s="56"/>
      <c r="V50" s="56"/>
      <c r="W50" s="136" t="s">
        <v>42</v>
      </c>
      <c r="X50" s="56"/>
      <c r="Y50" s="56"/>
      <c r="Z50" s="56"/>
      <c r="AA50" s="56"/>
      <c r="AB50" s="56"/>
      <c r="AC50" s="56"/>
    </row>
    <row r="51" spans="1:29">
      <c r="A51" s="11">
        <v>3</v>
      </c>
      <c r="B51" s="12" t="s">
        <v>67</v>
      </c>
      <c r="C51" s="13">
        <v>5</v>
      </c>
      <c r="D51" s="60">
        <v>45792</v>
      </c>
      <c r="E51" s="52">
        <v>6.75</v>
      </c>
      <c r="F51" s="56">
        <v>3340</v>
      </c>
      <c r="G51" s="54">
        <v>7</v>
      </c>
      <c r="H51" s="55" t="s">
        <v>33</v>
      </c>
      <c r="I51" s="55">
        <v>13.4</v>
      </c>
      <c r="J51" s="56">
        <v>817</v>
      </c>
      <c r="K51" s="56" t="s">
        <v>34</v>
      </c>
      <c r="L51" s="56" t="s">
        <v>35</v>
      </c>
      <c r="M51" s="56" t="s">
        <v>36</v>
      </c>
      <c r="N51" s="219">
        <v>970</v>
      </c>
      <c r="O51" s="56">
        <v>1.6</v>
      </c>
      <c r="P51" s="56" t="s">
        <v>37</v>
      </c>
      <c r="Q51" s="56" t="s">
        <v>38</v>
      </c>
      <c r="R51" s="56">
        <v>8.1999999999999993</v>
      </c>
      <c r="S51" s="56" t="s">
        <v>39</v>
      </c>
      <c r="T51" s="56" t="s">
        <v>40</v>
      </c>
      <c r="U51" s="56">
        <v>920</v>
      </c>
      <c r="V51" s="56"/>
      <c r="W51" s="136" t="s">
        <v>42</v>
      </c>
      <c r="X51" s="56">
        <v>24.7</v>
      </c>
      <c r="Y51" s="56">
        <v>7.24</v>
      </c>
      <c r="Z51" s="56">
        <v>92.1</v>
      </c>
      <c r="AA51" s="56">
        <v>5.5</v>
      </c>
      <c r="AB51" s="56">
        <v>534</v>
      </c>
      <c r="AC51" s="56">
        <v>74.7</v>
      </c>
    </row>
    <row r="52" spans="1:29">
      <c r="A52" s="11">
        <v>3</v>
      </c>
      <c r="B52" s="12" t="s">
        <v>67</v>
      </c>
      <c r="C52" s="13">
        <v>5</v>
      </c>
      <c r="D52" s="60">
        <v>45616</v>
      </c>
      <c r="E52" s="52">
        <v>6.32</v>
      </c>
      <c r="F52" s="56">
        <v>3490</v>
      </c>
      <c r="G52" s="54">
        <v>26</v>
      </c>
      <c r="H52" s="55" t="s">
        <v>33</v>
      </c>
      <c r="I52" s="55">
        <v>20.8</v>
      </c>
      <c r="J52" s="56">
        <v>1270</v>
      </c>
      <c r="K52" s="56" t="s">
        <v>34</v>
      </c>
      <c r="L52" s="56" t="s">
        <v>35</v>
      </c>
      <c r="M52" s="56" t="s">
        <v>35</v>
      </c>
      <c r="N52" s="219">
        <v>700</v>
      </c>
      <c r="O52" s="56" t="s">
        <v>35</v>
      </c>
      <c r="P52" s="56" t="s">
        <v>37</v>
      </c>
      <c r="Q52" s="56" t="s">
        <v>41</v>
      </c>
      <c r="R52" s="56">
        <v>1.7</v>
      </c>
      <c r="S52" s="56">
        <v>0.01</v>
      </c>
      <c r="T52" s="56" t="s">
        <v>42</v>
      </c>
      <c r="U52" s="56">
        <v>1080</v>
      </c>
      <c r="V52" s="56"/>
      <c r="W52" s="136">
        <v>362</v>
      </c>
      <c r="X52" s="56">
        <v>53.6</v>
      </c>
      <c r="Y52" s="56">
        <v>11.6</v>
      </c>
      <c r="Z52" s="56">
        <v>84.8</v>
      </c>
      <c r="AA52" s="56">
        <v>3.9</v>
      </c>
      <c r="AB52" s="56">
        <v>646</v>
      </c>
      <c r="AC52" s="56">
        <v>75.599999999999994</v>
      </c>
    </row>
    <row r="53" spans="1:29">
      <c r="A53" s="11">
        <v>3</v>
      </c>
      <c r="B53" s="12" t="s">
        <v>67</v>
      </c>
      <c r="C53" s="13">
        <v>5</v>
      </c>
      <c r="D53" s="60">
        <v>45328</v>
      </c>
      <c r="E53" s="52">
        <v>7.26</v>
      </c>
      <c r="F53" s="56">
        <v>2340</v>
      </c>
      <c r="G53" s="54">
        <v>8.8000000000000007</v>
      </c>
      <c r="H53" s="55" t="s">
        <v>33</v>
      </c>
      <c r="I53" s="55">
        <v>15.1</v>
      </c>
      <c r="J53" s="56">
        <v>921</v>
      </c>
      <c r="K53" s="56" t="s">
        <v>34</v>
      </c>
      <c r="L53" s="56" t="s">
        <v>35</v>
      </c>
      <c r="M53" s="56" t="s">
        <v>36</v>
      </c>
      <c r="N53" s="219">
        <v>414</v>
      </c>
      <c r="O53" s="56">
        <v>1.4</v>
      </c>
      <c r="P53" s="56" t="s">
        <v>37</v>
      </c>
      <c r="Q53" s="56" t="s">
        <v>38</v>
      </c>
      <c r="R53" s="56">
        <v>4</v>
      </c>
      <c r="S53" s="56" t="s">
        <v>39</v>
      </c>
      <c r="T53" s="56" t="s">
        <v>40</v>
      </c>
      <c r="U53" s="56">
        <v>673</v>
      </c>
      <c r="V53" s="56"/>
      <c r="W53" s="136">
        <v>28.2</v>
      </c>
      <c r="X53" s="56">
        <v>14</v>
      </c>
      <c r="Y53" s="56">
        <v>4.75</v>
      </c>
      <c r="Z53" s="56">
        <v>75.5</v>
      </c>
      <c r="AA53" s="56">
        <v>2.4</v>
      </c>
      <c r="AB53" s="56">
        <v>392</v>
      </c>
      <c r="AC53" s="56">
        <v>53.8</v>
      </c>
    </row>
    <row r="54" spans="1:29">
      <c r="A54" s="11">
        <v>3</v>
      </c>
      <c r="B54" s="12" t="s">
        <v>67</v>
      </c>
      <c r="C54" s="13">
        <v>5</v>
      </c>
      <c r="D54" s="60">
        <v>45244</v>
      </c>
      <c r="E54" s="52">
        <v>7.12</v>
      </c>
      <c r="F54" s="56">
        <v>2210</v>
      </c>
      <c r="G54" s="54">
        <v>9.4</v>
      </c>
      <c r="H54" s="55" t="s">
        <v>33</v>
      </c>
      <c r="I54" s="55">
        <v>15.5</v>
      </c>
      <c r="J54" s="56">
        <v>946</v>
      </c>
      <c r="K54" s="56" t="s">
        <v>34</v>
      </c>
      <c r="L54" s="56" t="s">
        <v>35</v>
      </c>
      <c r="M54" s="56" t="s">
        <v>36</v>
      </c>
      <c r="N54" s="219">
        <v>425</v>
      </c>
      <c r="O54" s="56">
        <v>1.8</v>
      </c>
      <c r="P54" s="56" t="s">
        <v>37</v>
      </c>
      <c r="Q54" s="56" t="s">
        <v>38</v>
      </c>
      <c r="R54" s="56">
        <v>3.9</v>
      </c>
      <c r="S54" s="56" t="s">
        <v>39</v>
      </c>
      <c r="T54" s="56" t="s">
        <v>40</v>
      </c>
      <c r="U54" s="56">
        <v>671</v>
      </c>
      <c r="V54" s="56"/>
      <c r="W54" s="136">
        <v>25.5</v>
      </c>
      <c r="X54" s="56">
        <v>14.6</v>
      </c>
      <c r="Y54" s="56">
        <v>5.01</v>
      </c>
      <c r="Z54" s="56">
        <v>74.099999999999994</v>
      </c>
      <c r="AA54" s="56">
        <v>3.7</v>
      </c>
      <c r="AB54" s="56">
        <v>391</v>
      </c>
      <c r="AC54" s="56">
        <v>53.7</v>
      </c>
    </row>
    <row r="55" spans="1:29">
      <c r="A55" s="11">
        <v>3</v>
      </c>
      <c r="B55" s="12" t="s">
        <v>67</v>
      </c>
      <c r="C55" s="13">
        <v>5</v>
      </c>
      <c r="D55" s="60">
        <v>45160</v>
      </c>
      <c r="E55" s="52">
        <v>7.17</v>
      </c>
      <c r="F55" s="56">
        <v>2300</v>
      </c>
      <c r="G55" s="54">
        <v>9</v>
      </c>
      <c r="H55" s="55" t="s">
        <v>33</v>
      </c>
      <c r="I55" s="55">
        <v>14.9</v>
      </c>
      <c r="J55" s="56">
        <v>909</v>
      </c>
      <c r="K55" s="56" t="s">
        <v>34</v>
      </c>
      <c r="L55" s="56" t="s">
        <v>35</v>
      </c>
      <c r="M55" s="56" t="s">
        <v>36</v>
      </c>
      <c r="N55" s="219">
        <v>394</v>
      </c>
      <c r="O55" s="56">
        <v>1.6</v>
      </c>
      <c r="P55" s="56" t="s">
        <v>37</v>
      </c>
      <c r="Q55" s="56" t="s">
        <v>38</v>
      </c>
      <c r="R55" s="56">
        <v>4.0999999999999996</v>
      </c>
      <c r="S55" s="56" t="s">
        <v>39</v>
      </c>
      <c r="T55" s="56" t="s">
        <v>40</v>
      </c>
      <c r="U55" s="56">
        <v>672</v>
      </c>
      <c r="V55" s="56"/>
      <c r="W55" s="136">
        <v>28.6</v>
      </c>
      <c r="X55" s="56">
        <v>13.6</v>
      </c>
      <c r="Y55" s="56">
        <v>4.9800000000000004</v>
      </c>
      <c r="Z55" s="56">
        <v>76</v>
      </c>
      <c r="AA55" s="56">
        <v>3.5</v>
      </c>
      <c r="AB55" s="56">
        <v>390</v>
      </c>
      <c r="AC55" s="56">
        <v>54.8</v>
      </c>
    </row>
    <row r="56" spans="1:29">
      <c r="A56" s="11">
        <v>3</v>
      </c>
      <c r="B56" s="12" t="s">
        <v>67</v>
      </c>
      <c r="C56" s="13">
        <v>5</v>
      </c>
      <c r="D56" s="60">
        <v>45062</v>
      </c>
      <c r="E56" s="52">
        <v>7.32</v>
      </c>
      <c r="F56" s="56">
        <v>2210</v>
      </c>
      <c r="G56" s="54">
        <v>8.4</v>
      </c>
      <c r="H56" s="55" t="s">
        <v>33</v>
      </c>
      <c r="I56" s="55">
        <v>14.8</v>
      </c>
      <c r="J56" s="56">
        <v>903</v>
      </c>
      <c r="K56" s="56" t="s">
        <v>34</v>
      </c>
      <c r="L56" s="56" t="s">
        <v>35</v>
      </c>
      <c r="M56" s="56" t="s">
        <v>36</v>
      </c>
      <c r="N56" s="219">
        <v>405</v>
      </c>
      <c r="O56" s="56">
        <v>1.9</v>
      </c>
      <c r="P56" s="56" t="s">
        <v>37</v>
      </c>
      <c r="Q56" s="56" t="s">
        <v>38</v>
      </c>
      <c r="R56" s="56">
        <v>4.5</v>
      </c>
      <c r="S56" s="56" t="s">
        <v>39</v>
      </c>
      <c r="T56" s="56" t="s">
        <v>40</v>
      </c>
      <c r="U56" s="56">
        <v>661</v>
      </c>
      <c r="V56" s="56"/>
      <c r="W56" s="136">
        <v>29.3</v>
      </c>
      <c r="X56" s="56">
        <v>13.4</v>
      </c>
      <c r="Y56" s="56">
        <v>4.84</v>
      </c>
      <c r="Z56" s="56">
        <v>71.900000000000006</v>
      </c>
      <c r="AA56" s="56">
        <v>2.5</v>
      </c>
      <c r="AB56" s="56">
        <v>383</v>
      </c>
      <c r="AC56" s="56">
        <v>54.1</v>
      </c>
    </row>
    <row r="57" spans="1:29">
      <c r="A57" s="11">
        <v>3</v>
      </c>
      <c r="B57" s="12" t="s">
        <v>67</v>
      </c>
      <c r="C57" s="13">
        <v>5</v>
      </c>
      <c r="D57" s="60">
        <v>44978</v>
      </c>
      <c r="E57" s="52">
        <v>7.47</v>
      </c>
      <c r="F57" s="56">
        <v>2120</v>
      </c>
      <c r="G57" s="54">
        <v>8.5</v>
      </c>
      <c r="H57" s="55" t="s">
        <v>33</v>
      </c>
      <c r="I57" s="55">
        <v>13.8</v>
      </c>
      <c r="J57" s="56">
        <v>842</v>
      </c>
      <c r="K57" s="56" t="s">
        <v>34</v>
      </c>
      <c r="L57" s="56" t="s">
        <v>35</v>
      </c>
      <c r="M57" s="56" t="s">
        <v>36</v>
      </c>
      <c r="N57" s="219">
        <v>377</v>
      </c>
      <c r="O57" s="56">
        <v>1.9</v>
      </c>
      <c r="P57" s="56" t="s">
        <v>37</v>
      </c>
      <c r="Q57" s="56" t="s">
        <v>38</v>
      </c>
      <c r="R57" s="56">
        <v>4.0999999999999996</v>
      </c>
      <c r="S57" s="56" t="s">
        <v>39</v>
      </c>
      <c r="T57" s="56" t="s">
        <v>40</v>
      </c>
      <c r="U57" s="56">
        <v>642</v>
      </c>
      <c r="V57" s="56"/>
      <c r="W57" s="136">
        <v>7</v>
      </c>
      <c r="X57" s="56">
        <v>12.5</v>
      </c>
      <c r="Y57" s="56">
        <v>4.4800000000000004</v>
      </c>
      <c r="Z57" s="56">
        <v>68.7</v>
      </c>
      <c r="AA57" s="56">
        <v>2.2999999999999998</v>
      </c>
      <c r="AB57" s="56">
        <v>374</v>
      </c>
      <c r="AC57" s="56">
        <v>51.6</v>
      </c>
    </row>
    <row r="58" spans="1:29">
      <c r="A58" s="11">
        <v>3</v>
      </c>
      <c r="B58" s="12" t="s">
        <v>67</v>
      </c>
      <c r="C58" s="13">
        <v>5</v>
      </c>
      <c r="D58" s="60">
        <v>44880</v>
      </c>
      <c r="E58" s="52">
        <v>7.31</v>
      </c>
      <c r="F58" s="56">
        <v>2010</v>
      </c>
      <c r="G58" s="54">
        <v>8.5</v>
      </c>
      <c r="H58" s="55" t="s">
        <v>33</v>
      </c>
      <c r="I58" s="55">
        <v>14</v>
      </c>
      <c r="J58" s="56">
        <v>854</v>
      </c>
      <c r="K58" s="56" t="s">
        <v>34</v>
      </c>
      <c r="L58" s="56" t="s">
        <v>35</v>
      </c>
      <c r="M58" s="56" t="s">
        <v>35</v>
      </c>
      <c r="N58" s="219">
        <v>350</v>
      </c>
      <c r="O58" s="56" t="s">
        <v>35</v>
      </c>
      <c r="P58" s="56" t="s">
        <v>37</v>
      </c>
      <c r="Q58" s="56" t="s">
        <v>41</v>
      </c>
      <c r="R58" s="56">
        <v>4.3</v>
      </c>
      <c r="S58" s="56" t="s">
        <v>39</v>
      </c>
      <c r="T58" s="56" t="s">
        <v>42</v>
      </c>
      <c r="U58" s="56">
        <v>623</v>
      </c>
      <c r="V58" s="56"/>
      <c r="W58" s="136">
        <v>5.2</v>
      </c>
      <c r="X58" s="56">
        <v>10.7</v>
      </c>
      <c r="Y58" s="56">
        <v>4.3600000000000003</v>
      </c>
      <c r="Z58" s="56">
        <v>65.599999999999994</v>
      </c>
      <c r="AA58" s="56">
        <v>2.2999999999999998</v>
      </c>
      <c r="AB58" s="56">
        <v>363</v>
      </c>
      <c r="AC58" s="56">
        <v>49.9</v>
      </c>
    </row>
    <row r="59" spans="1:29">
      <c r="A59" s="11">
        <v>3</v>
      </c>
      <c r="B59" s="12" t="s">
        <v>67</v>
      </c>
      <c r="C59" s="13">
        <v>5</v>
      </c>
      <c r="D59" s="60">
        <v>44747</v>
      </c>
      <c r="E59" s="52">
        <v>7.13</v>
      </c>
      <c r="F59" s="56">
        <v>1910</v>
      </c>
      <c r="G59" s="54">
        <v>6.8</v>
      </c>
      <c r="H59" s="55" t="s">
        <v>33</v>
      </c>
      <c r="I59" s="55">
        <v>12.5</v>
      </c>
      <c r="J59" s="56">
        <v>763</v>
      </c>
      <c r="K59" s="56" t="s">
        <v>34</v>
      </c>
      <c r="L59" s="56" t="s">
        <v>35</v>
      </c>
      <c r="M59" s="56" t="s">
        <v>36</v>
      </c>
      <c r="N59" s="219">
        <v>299</v>
      </c>
      <c r="O59" s="56">
        <v>2.5</v>
      </c>
      <c r="P59" s="56" t="s">
        <v>37</v>
      </c>
      <c r="Q59" s="56" t="s">
        <v>38</v>
      </c>
      <c r="R59" s="56">
        <v>2.9</v>
      </c>
      <c r="S59" s="56" t="s">
        <v>39</v>
      </c>
      <c r="T59" s="56" t="s">
        <v>40</v>
      </c>
      <c r="U59" s="56">
        <v>493</v>
      </c>
      <c r="V59" s="56"/>
      <c r="W59" s="136">
        <v>78.599999999999994</v>
      </c>
      <c r="X59" s="56">
        <v>6.8</v>
      </c>
      <c r="Y59" s="56">
        <v>3.31</v>
      </c>
      <c r="Z59" s="56">
        <v>57</v>
      </c>
      <c r="AA59" s="56">
        <v>2.4</v>
      </c>
      <c r="AB59" s="56">
        <v>289</v>
      </c>
      <c r="AC59" s="56">
        <v>38.5</v>
      </c>
    </row>
    <row r="60" spans="1:29">
      <c r="A60" s="11">
        <v>3</v>
      </c>
      <c r="B60" s="12" t="s">
        <v>67</v>
      </c>
      <c r="C60" s="13">
        <v>5</v>
      </c>
      <c r="D60" s="60">
        <v>44704</v>
      </c>
      <c r="E60" s="52">
        <v>7.2</v>
      </c>
      <c r="F60" s="56">
        <v>2130</v>
      </c>
      <c r="G60" s="54">
        <v>8.5</v>
      </c>
      <c r="H60" s="55" t="s">
        <v>33</v>
      </c>
      <c r="I60" s="55">
        <v>14.1</v>
      </c>
      <c r="J60" s="56">
        <v>860</v>
      </c>
      <c r="K60" s="56" t="s">
        <v>34</v>
      </c>
      <c r="L60" s="56" t="s">
        <v>35</v>
      </c>
      <c r="M60" s="56" t="s">
        <v>36</v>
      </c>
      <c r="N60" s="219">
        <v>353</v>
      </c>
      <c r="O60" s="56">
        <v>3.4</v>
      </c>
      <c r="P60" s="56" t="s">
        <v>37</v>
      </c>
      <c r="Q60" s="56" t="s">
        <v>38</v>
      </c>
      <c r="R60" s="56">
        <v>3.9</v>
      </c>
      <c r="S60" s="56" t="s">
        <v>39</v>
      </c>
      <c r="T60" s="56" t="s">
        <v>40</v>
      </c>
      <c r="U60" s="56">
        <v>625</v>
      </c>
      <c r="V60" s="56"/>
      <c r="W60" s="136" t="s">
        <v>33</v>
      </c>
      <c r="X60" s="56">
        <v>12.7</v>
      </c>
      <c r="Y60" s="56">
        <v>4.4400000000000004</v>
      </c>
      <c r="Z60" s="56">
        <v>63.3</v>
      </c>
      <c r="AA60" s="56">
        <v>2.7</v>
      </c>
      <c r="AB60" s="56">
        <v>364</v>
      </c>
      <c r="AC60" s="56">
        <v>50.2</v>
      </c>
    </row>
    <row r="61" spans="1:29" ht="15" thickBot="1">
      <c r="A61" s="15">
        <v>3</v>
      </c>
      <c r="B61" s="16" t="s">
        <v>67</v>
      </c>
      <c r="C61" s="17">
        <v>5</v>
      </c>
      <c r="D61" s="157">
        <v>44285</v>
      </c>
      <c r="E61" s="111">
        <v>7.4</v>
      </c>
      <c r="F61" s="115">
        <v>1740</v>
      </c>
      <c r="G61" s="113">
        <v>5.0999999999999996</v>
      </c>
      <c r="H61" s="114" t="s">
        <v>33</v>
      </c>
      <c r="I61" s="114">
        <v>14</v>
      </c>
      <c r="J61" s="115">
        <v>854</v>
      </c>
      <c r="K61" s="115" t="s">
        <v>34</v>
      </c>
      <c r="L61" s="112" t="s">
        <v>35</v>
      </c>
      <c r="M61" s="115" t="s">
        <v>36</v>
      </c>
      <c r="N61" s="222">
        <v>193</v>
      </c>
      <c r="O61" s="115">
        <v>3.6</v>
      </c>
      <c r="P61" s="115" t="s">
        <v>37</v>
      </c>
      <c r="Q61" s="115" t="s">
        <v>38</v>
      </c>
      <c r="R61" s="115">
        <v>3.51</v>
      </c>
      <c r="S61" s="115" t="s">
        <v>39</v>
      </c>
      <c r="T61" s="115" t="s">
        <v>40</v>
      </c>
      <c r="U61" s="115">
        <v>489</v>
      </c>
      <c r="V61" s="115"/>
      <c r="W61" s="160">
        <v>0.7</v>
      </c>
      <c r="X61" s="112">
        <v>6.78</v>
      </c>
      <c r="Y61" s="112">
        <v>3.09</v>
      </c>
      <c r="Z61" s="112">
        <v>78.3</v>
      </c>
      <c r="AA61" s="112">
        <v>2.4</v>
      </c>
      <c r="AB61" s="112">
        <v>287</v>
      </c>
      <c r="AC61" s="112">
        <v>38</v>
      </c>
    </row>
    <row r="62" spans="1:29" ht="15" thickBot="1">
      <c r="E62" s="223"/>
      <c r="F62" s="224"/>
      <c r="G62" s="225"/>
      <c r="H62" s="226"/>
      <c r="I62" s="224"/>
      <c r="J62" s="224"/>
      <c r="K62" s="227"/>
      <c r="L62" s="224"/>
      <c r="M62" s="224"/>
      <c r="N62" s="228"/>
      <c r="O62" s="224"/>
      <c r="P62" s="224"/>
      <c r="Q62" s="224"/>
      <c r="R62" s="224"/>
      <c r="S62" s="224"/>
      <c r="T62" s="224"/>
      <c r="U62" s="224"/>
      <c r="V62" s="229"/>
      <c r="W62" s="230"/>
      <c r="X62" s="227"/>
      <c r="Y62" s="227"/>
      <c r="Z62" s="227"/>
      <c r="AA62" s="227"/>
      <c r="AB62" s="227"/>
      <c r="AC62" s="2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2FC6D-80F4-4F7F-AF45-A21BCEF3AFCA}">
  <dimension ref="A1:AC58"/>
  <sheetViews>
    <sheetView topLeftCell="C1" workbookViewId="0">
      <selection activeCell="F2" sqref="F2"/>
    </sheetView>
  </sheetViews>
  <sheetFormatPr defaultRowHeight="14.4"/>
  <cols>
    <col min="3" max="3" width="18.21875" customWidth="1"/>
    <col min="4" max="4" width="14.21875" customWidth="1"/>
  </cols>
  <sheetData>
    <row r="1" spans="1:29" ht="51.6" thickBot="1">
      <c r="A1" s="1" t="s">
        <v>0</v>
      </c>
      <c r="B1" s="218" t="s">
        <v>63</v>
      </c>
      <c r="C1" s="99" t="s">
        <v>62</v>
      </c>
      <c r="D1" s="2" t="s">
        <v>1</v>
      </c>
      <c r="E1" s="36" t="s">
        <v>4</v>
      </c>
      <c r="F1" s="37" t="s">
        <v>69</v>
      </c>
      <c r="G1" s="36" t="s">
        <v>5</v>
      </c>
      <c r="H1" s="36" t="s">
        <v>6</v>
      </c>
      <c r="I1" s="36" t="s">
        <v>7</v>
      </c>
      <c r="J1" s="37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8" t="s">
        <v>15</v>
      </c>
      <c r="R1" s="36" t="s">
        <v>16</v>
      </c>
      <c r="S1" s="36" t="s">
        <v>17</v>
      </c>
      <c r="T1" s="36" t="s">
        <v>18</v>
      </c>
      <c r="U1" s="36" t="s">
        <v>19</v>
      </c>
      <c r="V1" s="36" t="s">
        <v>20</v>
      </c>
      <c r="W1" s="37" t="s">
        <v>21</v>
      </c>
      <c r="X1" s="37" t="s">
        <v>22</v>
      </c>
      <c r="Y1" s="36" t="s">
        <v>23</v>
      </c>
      <c r="Z1" s="36" t="s">
        <v>24</v>
      </c>
      <c r="AA1" s="36" t="s">
        <v>25</v>
      </c>
      <c r="AB1" s="36" t="s">
        <v>26</v>
      </c>
      <c r="AC1" s="36" t="s">
        <v>27</v>
      </c>
    </row>
    <row r="2" spans="1:29" ht="15">
      <c r="A2" s="3"/>
      <c r="B2" s="4"/>
      <c r="C2" s="5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29">
      <c r="A3" s="11">
        <v>1</v>
      </c>
      <c r="B3" s="12" t="s">
        <v>68</v>
      </c>
      <c r="C3" s="13">
        <v>1</v>
      </c>
      <c r="D3" s="60">
        <v>45783</v>
      </c>
      <c r="E3" s="52">
        <v>7.24</v>
      </c>
      <c r="F3" s="56">
        <v>1930</v>
      </c>
      <c r="G3" s="54">
        <v>6.3</v>
      </c>
      <c r="H3" s="55" t="s">
        <v>33</v>
      </c>
      <c r="I3" s="55">
        <v>13.3</v>
      </c>
      <c r="J3" s="56">
        <v>811</v>
      </c>
      <c r="K3" s="56" t="s">
        <v>34</v>
      </c>
      <c r="L3" s="56" t="s">
        <v>35</v>
      </c>
      <c r="M3" s="56" t="s">
        <v>36</v>
      </c>
      <c r="N3" s="219">
        <v>354</v>
      </c>
      <c r="O3" s="56">
        <v>1.3</v>
      </c>
      <c r="P3" s="56" t="s">
        <v>37</v>
      </c>
      <c r="Q3" s="56" t="s">
        <v>38</v>
      </c>
      <c r="R3" s="56">
        <v>8.9</v>
      </c>
      <c r="S3" s="56">
        <v>0.25</v>
      </c>
      <c r="T3" s="56">
        <v>9</v>
      </c>
      <c r="U3" s="56">
        <v>529</v>
      </c>
      <c r="V3" s="56"/>
      <c r="W3" s="136" t="s">
        <v>42</v>
      </c>
      <c r="X3" s="56">
        <v>32.1</v>
      </c>
      <c r="Y3" s="56">
        <v>2.44</v>
      </c>
      <c r="Z3" s="56">
        <v>80.8</v>
      </c>
      <c r="AA3" s="56">
        <v>3.2</v>
      </c>
      <c r="AB3" s="56">
        <v>299</v>
      </c>
      <c r="AC3" s="56">
        <v>48.1</v>
      </c>
    </row>
    <row r="4" spans="1:29">
      <c r="A4" s="11">
        <v>1</v>
      </c>
      <c r="B4" s="12" t="s">
        <v>68</v>
      </c>
      <c r="C4" s="13">
        <v>1</v>
      </c>
      <c r="D4" s="60">
        <v>45567</v>
      </c>
      <c r="E4" s="52">
        <v>6.65</v>
      </c>
      <c r="F4" s="56">
        <v>2420</v>
      </c>
      <c r="G4" s="54">
        <v>6.4</v>
      </c>
      <c r="H4" s="55" t="s">
        <v>33</v>
      </c>
      <c r="I4" s="55">
        <v>11.7</v>
      </c>
      <c r="J4" s="56">
        <v>714</v>
      </c>
      <c r="K4" s="56" t="s">
        <v>34</v>
      </c>
      <c r="L4" s="56" t="s">
        <v>35</v>
      </c>
      <c r="M4" s="56" t="s">
        <v>36</v>
      </c>
      <c r="N4" s="219">
        <v>525</v>
      </c>
      <c r="O4" s="56">
        <v>1.7</v>
      </c>
      <c r="P4" s="56" t="s">
        <v>37</v>
      </c>
      <c r="Q4" s="56" t="s">
        <v>38</v>
      </c>
      <c r="R4" s="56">
        <v>16</v>
      </c>
      <c r="S4" s="56" t="s">
        <v>39</v>
      </c>
      <c r="T4" s="56" t="s">
        <v>40</v>
      </c>
      <c r="U4" s="56">
        <v>610</v>
      </c>
      <c r="V4" s="56"/>
      <c r="W4" s="136" t="s">
        <v>42</v>
      </c>
      <c r="X4" s="56">
        <v>12.6</v>
      </c>
      <c r="Y4" s="56">
        <v>3.37</v>
      </c>
      <c r="Z4" s="56">
        <v>74.900000000000006</v>
      </c>
      <c r="AA4" s="56">
        <v>3.9</v>
      </c>
      <c r="AB4" s="56">
        <v>350</v>
      </c>
      <c r="AC4" s="56">
        <v>52.3</v>
      </c>
    </row>
    <row r="5" spans="1:29">
      <c r="A5" s="34">
        <v>1</v>
      </c>
      <c r="B5" s="12" t="s">
        <v>68</v>
      </c>
      <c r="C5" s="13">
        <v>1</v>
      </c>
      <c r="D5" s="60">
        <v>45510</v>
      </c>
      <c r="E5" s="52">
        <v>6.94</v>
      </c>
      <c r="F5" s="56">
        <v>2460</v>
      </c>
      <c r="G5" s="54">
        <v>7.7</v>
      </c>
      <c r="H5" s="55" t="s">
        <v>33</v>
      </c>
      <c r="I5" s="56">
        <v>11.9</v>
      </c>
      <c r="J5" s="56">
        <v>726</v>
      </c>
      <c r="K5" s="56" t="s">
        <v>34</v>
      </c>
      <c r="L5" s="56" t="s">
        <v>35</v>
      </c>
      <c r="M5" s="56" t="s">
        <v>36</v>
      </c>
      <c r="N5" s="219">
        <v>505</v>
      </c>
      <c r="O5" s="56">
        <v>1.6</v>
      </c>
      <c r="P5" s="56" t="s">
        <v>37</v>
      </c>
      <c r="Q5" s="56" t="s">
        <v>38</v>
      </c>
      <c r="R5" s="56">
        <v>23.3</v>
      </c>
      <c r="S5" s="56" t="s">
        <v>39</v>
      </c>
      <c r="T5" s="56" t="s">
        <v>40</v>
      </c>
      <c r="U5" s="56">
        <v>600</v>
      </c>
      <c r="V5" s="56"/>
      <c r="W5" s="136" t="s">
        <v>46</v>
      </c>
      <c r="X5" s="56">
        <v>7.78</v>
      </c>
      <c r="Y5" s="56">
        <v>3.37</v>
      </c>
      <c r="Z5" s="56">
        <v>74.599999999999994</v>
      </c>
      <c r="AA5" s="56">
        <v>4.0999999999999996</v>
      </c>
      <c r="AB5" s="56">
        <v>345</v>
      </c>
      <c r="AC5" s="56">
        <v>50.7</v>
      </c>
    </row>
    <row r="6" spans="1:29">
      <c r="A6" s="34">
        <v>1</v>
      </c>
      <c r="B6" s="12" t="s">
        <v>68</v>
      </c>
      <c r="C6" s="13">
        <v>1</v>
      </c>
      <c r="D6" s="60">
        <v>45426</v>
      </c>
      <c r="E6" s="52">
        <v>7.33</v>
      </c>
      <c r="F6" s="56">
        <v>2390</v>
      </c>
      <c r="G6" s="54">
        <v>6.8</v>
      </c>
      <c r="H6" s="55" t="s">
        <v>33</v>
      </c>
      <c r="I6" s="56">
        <v>12.8</v>
      </c>
      <c r="J6" s="56">
        <v>781</v>
      </c>
      <c r="K6" s="56" t="s">
        <v>34</v>
      </c>
      <c r="L6" s="56" t="s">
        <v>35</v>
      </c>
      <c r="M6" s="56" t="s">
        <v>36</v>
      </c>
      <c r="N6" s="219">
        <v>466</v>
      </c>
      <c r="O6" s="56">
        <v>1.5</v>
      </c>
      <c r="P6" s="56" t="s">
        <v>37</v>
      </c>
      <c r="Q6" s="56" t="s">
        <v>38</v>
      </c>
      <c r="R6" s="56">
        <v>17.7</v>
      </c>
      <c r="S6" s="56">
        <v>0.03</v>
      </c>
      <c r="T6" s="56" t="s">
        <v>40</v>
      </c>
      <c r="U6" s="56">
        <v>609</v>
      </c>
      <c r="V6" s="56"/>
      <c r="W6" s="136">
        <v>5.4</v>
      </c>
      <c r="X6" s="56">
        <v>19.7</v>
      </c>
      <c r="Y6" s="56">
        <v>3.07</v>
      </c>
      <c r="Z6" s="56">
        <v>74.900000000000006</v>
      </c>
      <c r="AA6" s="56">
        <v>4.9000000000000004</v>
      </c>
      <c r="AB6" s="56">
        <v>349</v>
      </c>
      <c r="AC6" s="56">
        <v>52.2</v>
      </c>
    </row>
    <row r="7" spans="1:29">
      <c r="A7" s="34">
        <v>1</v>
      </c>
      <c r="B7" s="12" t="s">
        <v>68</v>
      </c>
      <c r="C7" s="13">
        <v>1</v>
      </c>
      <c r="D7" s="60">
        <v>45357</v>
      </c>
      <c r="E7" s="52">
        <v>6.98</v>
      </c>
      <c r="F7" s="56">
        <v>2480</v>
      </c>
      <c r="G7" s="54">
        <v>10</v>
      </c>
      <c r="H7" s="55" t="s">
        <v>33</v>
      </c>
      <c r="I7" s="56">
        <v>15.6</v>
      </c>
      <c r="J7" s="56">
        <v>952</v>
      </c>
      <c r="K7" s="56" t="s">
        <v>34</v>
      </c>
      <c r="L7" s="56" t="s">
        <v>35</v>
      </c>
      <c r="M7" s="56" t="s">
        <v>35</v>
      </c>
      <c r="N7" s="219">
        <v>470</v>
      </c>
      <c r="O7" s="56" t="s">
        <v>35</v>
      </c>
      <c r="P7" s="56" t="s">
        <v>37</v>
      </c>
      <c r="Q7" s="56" t="s">
        <v>41</v>
      </c>
      <c r="R7" s="56">
        <v>5.9</v>
      </c>
      <c r="S7" s="56">
        <v>0.01</v>
      </c>
      <c r="T7" s="56" t="s">
        <v>42</v>
      </c>
      <c r="U7" s="56">
        <v>660</v>
      </c>
      <c r="V7" s="56"/>
      <c r="W7" s="136" t="s">
        <v>36</v>
      </c>
      <c r="X7" s="56">
        <v>28.2</v>
      </c>
      <c r="Y7" s="56">
        <v>3.8</v>
      </c>
      <c r="Z7" s="56">
        <v>74.7</v>
      </c>
      <c r="AA7" s="56">
        <v>2.9</v>
      </c>
      <c r="AB7" s="56">
        <v>384</v>
      </c>
      <c r="AC7" s="56">
        <v>53.4</v>
      </c>
    </row>
    <row r="8" spans="1:29">
      <c r="A8" s="34">
        <v>1</v>
      </c>
      <c r="B8" s="12" t="s">
        <v>68</v>
      </c>
      <c r="C8" s="13">
        <v>1</v>
      </c>
      <c r="D8" s="60">
        <v>45335</v>
      </c>
      <c r="E8" s="52">
        <v>6.96</v>
      </c>
      <c r="F8" s="56">
        <v>2410</v>
      </c>
      <c r="G8" s="54">
        <v>10</v>
      </c>
      <c r="H8" s="55" t="s">
        <v>33</v>
      </c>
      <c r="I8" s="55">
        <v>15.4</v>
      </c>
      <c r="J8" s="56">
        <v>939</v>
      </c>
      <c r="K8" s="56" t="s">
        <v>34</v>
      </c>
      <c r="L8" s="56" t="s">
        <v>35</v>
      </c>
      <c r="M8" s="56" t="s">
        <v>36</v>
      </c>
      <c r="N8" s="219">
        <v>479</v>
      </c>
      <c r="O8" s="56">
        <v>1.4</v>
      </c>
      <c r="P8" s="56" t="s">
        <v>37</v>
      </c>
      <c r="Q8" s="56" t="s">
        <v>38</v>
      </c>
      <c r="R8" s="56">
        <v>7.1</v>
      </c>
      <c r="S8" s="56" t="s">
        <v>39</v>
      </c>
      <c r="T8" s="56" t="s">
        <v>40</v>
      </c>
      <c r="U8" s="56">
        <v>702</v>
      </c>
      <c r="V8" s="56"/>
      <c r="W8" s="136">
        <v>27.1</v>
      </c>
      <c r="X8" s="56">
        <v>27.1</v>
      </c>
      <c r="Y8" s="56">
        <v>4</v>
      </c>
      <c r="Z8" s="56">
        <v>78.3</v>
      </c>
      <c r="AA8" s="56">
        <v>3.4</v>
      </c>
      <c r="AB8" s="56">
        <v>409</v>
      </c>
      <c r="AC8" s="56">
        <v>56.4</v>
      </c>
    </row>
    <row r="9" spans="1:29" ht="15" thickBot="1">
      <c r="A9" s="231">
        <v>1</v>
      </c>
      <c r="B9" s="16" t="s">
        <v>68</v>
      </c>
      <c r="C9" s="17">
        <v>1</v>
      </c>
      <c r="D9" s="157">
        <v>44160</v>
      </c>
      <c r="E9" s="111">
        <v>8.26</v>
      </c>
      <c r="F9" s="115">
        <v>1390</v>
      </c>
      <c r="G9" s="113">
        <v>2.2000000000000002</v>
      </c>
      <c r="H9" s="114" t="s">
        <v>33</v>
      </c>
      <c r="I9" s="115">
        <v>9.8000000000000007</v>
      </c>
      <c r="J9" s="115">
        <v>598</v>
      </c>
      <c r="K9" s="112" t="s">
        <v>34</v>
      </c>
      <c r="L9" s="115" t="s">
        <v>35</v>
      </c>
      <c r="M9" s="115">
        <v>1.1000000000000001</v>
      </c>
      <c r="N9" s="222">
        <v>142</v>
      </c>
      <c r="O9" s="115">
        <v>0.7</v>
      </c>
      <c r="P9" s="115" t="s">
        <v>37</v>
      </c>
      <c r="Q9" s="115">
        <v>120</v>
      </c>
      <c r="R9" s="115">
        <v>0.25</v>
      </c>
      <c r="S9" s="115">
        <v>0.06</v>
      </c>
      <c r="T9" s="115" t="s">
        <v>40</v>
      </c>
      <c r="U9" s="115">
        <v>91</v>
      </c>
      <c r="V9" s="71"/>
      <c r="W9" s="118">
        <v>1.7</v>
      </c>
      <c r="X9" s="112">
        <v>0.22</v>
      </c>
      <c r="Y9" s="112">
        <v>0.16</v>
      </c>
      <c r="Z9" s="112">
        <v>293</v>
      </c>
      <c r="AA9" s="112">
        <v>3.8</v>
      </c>
      <c r="AB9" s="112">
        <v>38.9</v>
      </c>
      <c r="AC9" s="112">
        <v>15.7</v>
      </c>
    </row>
    <row r="10" spans="1:29">
      <c r="A10" s="11">
        <v>1</v>
      </c>
      <c r="B10" s="12" t="s">
        <v>68</v>
      </c>
      <c r="C10" s="13">
        <v>2</v>
      </c>
      <c r="D10" s="60">
        <v>45792</v>
      </c>
      <c r="E10" s="52">
        <v>7.15</v>
      </c>
      <c r="F10" s="56">
        <v>1540</v>
      </c>
      <c r="G10" s="54">
        <v>3</v>
      </c>
      <c r="H10" s="55" t="s">
        <v>33</v>
      </c>
      <c r="I10" s="55">
        <v>12</v>
      </c>
      <c r="J10" s="56">
        <v>732</v>
      </c>
      <c r="K10" s="56" t="s">
        <v>34</v>
      </c>
      <c r="L10" s="56" t="s">
        <v>35</v>
      </c>
      <c r="M10" s="56" t="s">
        <v>36</v>
      </c>
      <c r="N10" s="219">
        <v>232</v>
      </c>
      <c r="O10" s="56">
        <v>1</v>
      </c>
      <c r="P10" s="56" t="s">
        <v>37</v>
      </c>
      <c r="Q10" s="56" t="s">
        <v>38</v>
      </c>
      <c r="R10" s="56">
        <v>5.3</v>
      </c>
      <c r="S10" s="56" t="s">
        <v>39</v>
      </c>
      <c r="T10" s="56" t="s">
        <v>40</v>
      </c>
      <c r="U10" s="56">
        <v>369</v>
      </c>
      <c r="V10" s="56"/>
      <c r="W10" s="136" t="s">
        <v>42</v>
      </c>
      <c r="X10" s="56">
        <v>7.27</v>
      </c>
      <c r="Y10" s="56">
        <v>1.92</v>
      </c>
      <c r="Z10" s="56">
        <v>76.400000000000006</v>
      </c>
      <c r="AA10" s="56">
        <v>3.1</v>
      </c>
      <c r="AB10" s="56">
        <v>207</v>
      </c>
      <c r="AC10" s="56">
        <v>34.6</v>
      </c>
    </row>
    <row r="11" spans="1:29">
      <c r="A11" s="33">
        <v>1</v>
      </c>
      <c r="B11" s="20" t="s">
        <v>68</v>
      </c>
      <c r="C11" s="21">
        <v>2</v>
      </c>
      <c r="D11" s="168">
        <v>45244</v>
      </c>
      <c r="E11" s="74">
        <v>7</v>
      </c>
      <c r="F11" s="78">
        <v>2490</v>
      </c>
      <c r="G11" s="76">
        <v>5</v>
      </c>
      <c r="H11" s="77" t="s">
        <v>33</v>
      </c>
      <c r="I11" s="78">
        <v>13</v>
      </c>
      <c r="J11" s="78">
        <v>793</v>
      </c>
      <c r="K11" s="78" t="s">
        <v>34</v>
      </c>
      <c r="L11" s="78" t="s">
        <v>35</v>
      </c>
      <c r="M11" s="78" t="s">
        <v>36</v>
      </c>
      <c r="N11" s="120">
        <v>604</v>
      </c>
      <c r="O11" s="78">
        <v>1.4</v>
      </c>
      <c r="P11" s="78" t="s">
        <v>37</v>
      </c>
      <c r="Q11" s="78" t="s">
        <v>38</v>
      </c>
      <c r="R11" s="78">
        <v>3.9</v>
      </c>
      <c r="S11" s="78" t="s">
        <v>39</v>
      </c>
      <c r="T11" s="78" t="s">
        <v>40</v>
      </c>
      <c r="U11" s="78">
        <v>712</v>
      </c>
      <c r="V11" s="20"/>
      <c r="W11" s="200" t="s">
        <v>36</v>
      </c>
      <c r="X11" s="78">
        <v>18.2</v>
      </c>
      <c r="Y11" s="78">
        <v>3.76</v>
      </c>
      <c r="Z11" s="78">
        <v>74.7</v>
      </c>
      <c r="AA11" s="78">
        <v>4.9000000000000004</v>
      </c>
      <c r="AB11" s="78">
        <v>416</v>
      </c>
      <c r="AC11" s="78">
        <v>56.4</v>
      </c>
    </row>
    <row r="12" spans="1:29">
      <c r="A12" s="34">
        <v>1</v>
      </c>
      <c r="B12" s="12" t="s">
        <v>68</v>
      </c>
      <c r="C12" s="13">
        <v>2</v>
      </c>
      <c r="D12" s="60">
        <v>45160</v>
      </c>
      <c r="E12" s="52">
        <v>6.77</v>
      </c>
      <c r="F12" s="56">
        <v>2670</v>
      </c>
      <c r="G12" s="54">
        <v>5</v>
      </c>
      <c r="H12" s="55" t="s">
        <v>33</v>
      </c>
      <c r="I12" s="56">
        <v>13.2</v>
      </c>
      <c r="J12" s="56">
        <v>805</v>
      </c>
      <c r="K12" s="56" t="s">
        <v>34</v>
      </c>
      <c r="L12" s="56" t="s">
        <v>35</v>
      </c>
      <c r="M12" s="56" t="s">
        <v>36</v>
      </c>
      <c r="N12" s="63">
        <v>599</v>
      </c>
      <c r="O12" s="56">
        <v>1.2</v>
      </c>
      <c r="P12" s="56" t="s">
        <v>37</v>
      </c>
      <c r="Q12" s="56" t="s">
        <v>38</v>
      </c>
      <c r="R12" s="56">
        <v>4.7</v>
      </c>
      <c r="S12" s="56" t="s">
        <v>39</v>
      </c>
      <c r="T12" s="56" t="s">
        <v>40</v>
      </c>
      <c r="U12" s="56">
        <v>752</v>
      </c>
      <c r="V12" s="12"/>
      <c r="W12" s="136">
        <v>1.5</v>
      </c>
      <c r="X12" s="56">
        <v>20.9</v>
      </c>
      <c r="Y12" s="56">
        <v>3.89</v>
      </c>
      <c r="Z12" s="56">
        <v>79.400000000000006</v>
      </c>
      <c r="AA12" s="56">
        <v>5.2</v>
      </c>
      <c r="AB12" s="56">
        <v>438</v>
      </c>
      <c r="AC12" s="56">
        <v>60.2</v>
      </c>
    </row>
    <row r="13" spans="1:29">
      <c r="A13" s="34">
        <v>1</v>
      </c>
      <c r="B13" s="12" t="s">
        <v>68</v>
      </c>
      <c r="C13" s="13">
        <v>2</v>
      </c>
      <c r="D13" s="60">
        <v>45062</v>
      </c>
      <c r="E13" s="52">
        <v>7.13</v>
      </c>
      <c r="F13" s="56">
        <v>2440</v>
      </c>
      <c r="G13" s="54">
        <v>5.9</v>
      </c>
      <c r="H13" s="55" t="s">
        <v>33</v>
      </c>
      <c r="I13" s="56">
        <v>14</v>
      </c>
      <c r="J13" s="56">
        <v>854</v>
      </c>
      <c r="K13" s="56" t="s">
        <v>34</v>
      </c>
      <c r="L13" s="56" t="s">
        <v>35</v>
      </c>
      <c r="M13" s="56" t="s">
        <v>35</v>
      </c>
      <c r="N13" s="63">
        <v>560</v>
      </c>
      <c r="O13" s="56" t="s">
        <v>35</v>
      </c>
      <c r="P13" s="56" t="s">
        <v>37</v>
      </c>
      <c r="Q13" s="56" t="s">
        <v>41</v>
      </c>
      <c r="R13" s="56">
        <v>5</v>
      </c>
      <c r="S13" s="56" t="s">
        <v>39</v>
      </c>
      <c r="T13" s="56" t="s">
        <v>42</v>
      </c>
      <c r="U13" s="56">
        <v>734</v>
      </c>
      <c r="V13" s="12"/>
      <c r="W13" s="136">
        <v>30.5</v>
      </c>
      <c r="X13" s="56">
        <v>22.2</v>
      </c>
      <c r="Y13" s="56">
        <v>4.45</v>
      </c>
      <c r="Z13" s="56">
        <v>79.099999999999994</v>
      </c>
      <c r="AA13" s="56">
        <v>3.4</v>
      </c>
      <c r="AB13" s="56">
        <v>425</v>
      </c>
      <c r="AC13" s="56">
        <v>60.2</v>
      </c>
    </row>
    <row r="14" spans="1:29">
      <c r="A14" s="34">
        <v>1</v>
      </c>
      <c r="B14" s="12" t="s">
        <v>68</v>
      </c>
      <c r="C14" s="13">
        <v>2</v>
      </c>
      <c r="D14" s="60">
        <v>44978</v>
      </c>
      <c r="E14" s="52">
        <v>6.81</v>
      </c>
      <c r="F14" s="56">
        <v>2270</v>
      </c>
      <c r="G14" s="54">
        <v>9.8000000000000007</v>
      </c>
      <c r="H14" s="55" t="s">
        <v>33</v>
      </c>
      <c r="I14" s="56">
        <v>12.4</v>
      </c>
      <c r="J14" s="56">
        <v>756</v>
      </c>
      <c r="K14" s="56" t="s">
        <v>34</v>
      </c>
      <c r="L14" s="56" t="s">
        <v>35</v>
      </c>
      <c r="M14" s="56" t="s">
        <v>35</v>
      </c>
      <c r="N14" s="63">
        <v>430</v>
      </c>
      <c r="O14" s="56" t="s">
        <v>35</v>
      </c>
      <c r="P14" s="56" t="s">
        <v>37</v>
      </c>
      <c r="Q14" s="56" t="s">
        <v>41</v>
      </c>
      <c r="R14" s="56">
        <v>1.1499999999999999</v>
      </c>
      <c r="S14" s="56" t="s">
        <v>39</v>
      </c>
      <c r="T14" s="56" t="s">
        <v>42</v>
      </c>
      <c r="U14" s="56">
        <v>670</v>
      </c>
      <c r="V14" s="12"/>
      <c r="W14" s="136">
        <v>118</v>
      </c>
      <c r="X14" s="56">
        <v>19</v>
      </c>
      <c r="Y14" s="56">
        <v>4.3099999999999996</v>
      </c>
      <c r="Z14" s="56">
        <v>71.8</v>
      </c>
      <c r="AA14" s="56">
        <v>2.5</v>
      </c>
      <c r="AB14" s="56">
        <v>390</v>
      </c>
      <c r="AC14" s="56">
        <v>53.8</v>
      </c>
    </row>
    <row r="15" spans="1:29">
      <c r="A15" s="34">
        <v>1</v>
      </c>
      <c r="B15" s="12" t="s">
        <v>68</v>
      </c>
      <c r="C15" s="13">
        <v>2</v>
      </c>
      <c r="D15" s="60">
        <v>44880</v>
      </c>
      <c r="E15" s="52">
        <v>7.25</v>
      </c>
      <c r="F15" s="56">
        <v>1580</v>
      </c>
      <c r="G15" s="54">
        <v>3.4</v>
      </c>
      <c r="H15" s="55" t="s">
        <v>33</v>
      </c>
      <c r="I15" s="56">
        <v>11.6</v>
      </c>
      <c r="J15" s="56">
        <v>708</v>
      </c>
      <c r="K15" s="56" t="s">
        <v>34</v>
      </c>
      <c r="L15" s="56" t="s">
        <v>35</v>
      </c>
      <c r="M15" s="56" t="s">
        <v>35</v>
      </c>
      <c r="N15" s="63">
        <v>250</v>
      </c>
      <c r="O15" s="56" t="s">
        <v>35</v>
      </c>
      <c r="P15" s="56" t="s">
        <v>37</v>
      </c>
      <c r="Q15" s="56" t="s">
        <v>41</v>
      </c>
      <c r="R15" s="56">
        <v>3</v>
      </c>
      <c r="S15" s="56" t="s">
        <v>39</v>
      </c>
      <c r="T15" s="56" t="s">
        <v>42</v>
      </c>
      <c r="U15" s="56">
        <v>430</v>
      </c>
      <c r="V15" s="12"/>
      <c r="W15" s="136">
        <v>1.5</v>
      </c>
      <c r="X15" s="56">
        <v>14</v>
      </c>
      <c r="Y15" s="56">
        <v>1.99</v>
      </c>
      <c r="Z15" s="56">
        <v>109</v>
      </c>
      <c r="AA15" s="56">
        <v>2.4</v>
      </c>
      <c r="AB15" s="56">
        <v>223</v>
      </c>
      <c r="AC15" s="56">
        <v>51.3</v>
      </c>
    </row>
    <row r="16" spans="1:29">
      <c r="A16" s="34">
        <v>1</v>
      </c>
      <c r="B16" s="12" t="s">
        <v>68</v>
      </c>
      <c r="C16" s="13">
        <v>2</v>
      </c>
      <c r="D16" s="60">
        <v>44704</v>
      </c>
      <c r="E16" s="52">
        <v>6.97</v>
      </c>
      <c r="F16" s="56">
        <v>1730</v>
      </c>
      <c r="G16" s="54">
        <v>2.2000000000000002</v>
      </c>
      <c r="H16" s="55" t="s">
        <v>33</v>
      </c>
      <c r="I16" s="56">
        <v>11.7</v>
      </c>
      <c r="J16" s="56">
        <v>714</v>
      </c>
      <c r="K16" s="56" t="s">
        <v>34</v>
      </c>
      <c r="L16" s="56" t="s">
        <v>35</v>
      </c>
      <c r="M16" s="56" t="s">
        <v>36</v>
      </c>
      <c r="N16" s="63">
        <v>263</v>
      </c>
      <c r="O16" s="56">
        <v>1.1000000000000001</v>
      </c>
      <c r="P16" s="56" t="s">
        <v>37</v>
      </c>
      <c r="Q16" s="56" t="s">
        <v>38</v>
      </c>
      <c r="R16" s="56">
        <v>5.3</v>
      </c>
      <c r="S16" s="56" t="s">
        <v>39</v>
      </c>
      <c r="T16" s="56" t="s">
        <v>40</v>
      </c>
      <c r="U16" s="56">
        <v>445</v>
      </c>
      <c r="V16" s="56"/>
      <c r="W16" s="136" t="s">
        <v>33</v>
      </c>
      <c r="X16" s="56">
        <v>16.2</v>
      </c>
      <c r="Y16" s="56">
        <v>2</v>
      </c>
      <c r="Z16" s="56">
        <v>86.7</v>
      </c>
      <c r="AA16" s="56">
        <v>3.2</v>
      </c>
      <c r="AB16" s="56">
        <v>229</v>
      </c>
      <c r="AC16" s="56">
        <v>54.1</v>
      </c>
    </row>
    <row r="17" spans="1:29">
      <c r="A17" s="34">
        <v>1</v>
      </c>
      <c r="B17" s="12" t="s">
        <v>68</v>
      </c>
      <c r="C17" s="13">
        <v>2</v>
      </c>
      <c r="D17" s="60">
        <v>44613</v>
      </c>
      <c r="E17" s="52">
        <v>6.91</v>
      </c>
      <c r="F17" s="56">
        <v>2040</v>
      </c>
      <c r="G17" s="54">
        <v>4.9000000000000004</v>
      </c>
      <c r="H17" s="55" t="s">
        <v>33</v>
      </c>
      <c r="I17" s="56">
        <v>113.9</v>
      </c>
      <c r="J17" s="56">
        <v>848</v>
      </c>
      <c r="K17" s="56" t="s">
        <v>34</v>
      </c>
      <c r="L17" s="56" t="s">
        <v>35</v>
      </c>
      <c r="M17" s="56" t="s">
        <v>36</v>
      </c>
      <c r="N17" s="63">
        <v>349</v>
      </c>
      <c r="O17" s="56">
        <v>1.3</v>
      </c>
      <c r="P17" s="56" t="s">
        <v>37</v>
      </c>
      <c r="Q17" s="56" t="s">
        <v>38</v>
      </c>
      <c r="R17" s="56">
        <v>14</v>
      </c>
      <c r="S17" s="56" t="s">
        <v>39</v>
      </c>
      <c r="T17" s="56" t="s">
        <v>40</v>
      </c>
      <c r="U17" s="56">
        <v>537</v>
      </c>
      <c r="V17" s="56"/>
      <c r="W17" s="136">
        <v>11.4</v>
      </c>
      <c r="X17" s="56">
        <v>26.3</v>
      </c>
      <c r="Y17" s="56">
        <v>3.18</v>
      </c>
      <c r="Z17" s="56">
        <v>109</v>
      </c>
      <c r="AA17" s="56">
        <v>4.3</v>
      </c>
      <c r="AB17" s="56">
        <v>294</v>
      </c>
      <c r="AC17" s="56">
        <v>54.3</v>
      </c>
    </row>
    <row r="18" spans="1:29">
      <c r="A18" s="34">
        <v>1</v>
      </c>
      <c r="B18" s="12" t="s">
        <v>68</v>
      </c>
      <c r="C18" s="13">
        <v>2</v>
      </c>
      <c r="D18" s="60">
        <v>44515</v>
      </c>
      <c r="E18" s="52">
        <v>6.77</v>
      </c>
      <c r="F18" s="56">
        <v>2110</v>
      </c>
      <c r="G18" s="54">
        <v>3.5</v>
      </c>
      <c r="H18" s="55" t="s">
        <v>33</v>
      </c>
      <c r="I18" s="56">
        <v>13.6</v>
      </c>
      <c r="J18" s="56">
        <v>830</v>
      </c>
      <c r="K18" s="56" t="s">
        <v>34</v>
      </c>
      <c r="L18" s="56" t="s">
        <v>35</v>
      </c>
      <c r="M18" s="56" t="s">
        <v>35</v>
      </c>
      <c r="N18" s="63">
        <v>390</v>
      </c>
      <c r="O18" s="56" t="s">
        <v>35</v>
      </c>
      <c r="P18" s="56" t="s">
        <v>37</v>
      </c>
      <c r="Q18" s="56" t="s">
        <v>41</v>
      </c>
      <c r="R18" s="56">
        <v>14.9</v>
      </c>
      <c r="S18" s="56" t="s">
        <v>39</v>
      </c>
      <c r="T18" s="56" t="s">
        <v>42</v>
      </c>
      <c r="U18" s="56">
        <v>547</v>
      </c>
      <c r="V18" s="56"/>
      <c r="W18" s="136">
        <v>17.100000000000001</v>
      </c>
      <c r="X18" s="56">
        <v>28.5</v>
      </c>
      <c r="Y18" s="56">
        <v>3.89</v>
      </c>
      <c r="Z18" s="56">
        <v>117</v>
      </c>
      <c r="AA18" s="56">
        <v>4.0999999999999996</v>
      </c>
      <c r="AB18" s="56">
        <v>306</v>
      </c>
      <c r="AC18" s="56">
        <v>51.3</v>
      </c>
    </row>
    <row r="19" spans="1:29">
      <c r="A19" s="34">
        <v>1</v>
      </c>
      <c r="B19" s="12" t="s">
        <v>68</v>
      </c>
      <c r="C19" s="13">
        <v>2</v>
      </c>
      <c r="D19" s="60">
        <v>44431</v>
      </c>
      <c r="E19" s="52">
        <v>6.9</v>
      </c>
      <c r="F19" s="56">
        <v>2830</v>
      </c>
      <c r="G19" s="54">
        <v>20</v>
      </c>
      <c r="H19" s="55" t="s">
        <v>33</v>
      </c>
      <c r="I19" s="56">
        <v>21.2</v>
      </c>
      <c r="J19" s="56">
        <v>1290</v>
      </c>
      <c r="K19" s="56" t="s">
        <v>34</v>
      </c>
      <c r="L19" s="56" t="s">
        <v>35</v>
      </c>
      <c r="M19" s="56" t="s">
        <v>35</v>
      </c>
      <c r="N19" s="63">
        <v>530</v>
      </c>
      <c r="O19" s="56">
        <v>3</v>
      </c>
      <c r="P19" s="56" t="s">
        <v>48</v>
      </c>
      <c r="Q19" s="56" t="s">
        <v>41</v>
      </c>
      <c r="R19" s="56">
        <v>32</v>
      </c>
      <c r="S19" s="56" t="s">
        <v>39</v>
      </c>
      <c r="T19" s="56" t="s">
        <v>42</v>
      </c>
      <c r="U19" s="56">
        <v>764</v>
      </c>
      <c r="V19" s="56"/>
      <c r="W19" s="136">
        <v>36.9</v>
      </c>
      <c r="X19" s="56">
        <v>44.8</v>
      </c>
      <c r="Y19" s="56">
        <v>5.66</v>
      </c>
      <c r="Z19" s="56">
        <v>107</v>
      </c>
      <c r="AA19" s="56">
        <v>6.6</v>
      </c>
      <c r="AB19" s="56">
        <v>436</v>
      </c>
      <c r="AC19" s="56">
        <v>66.7</v>
      </c>
    </row>
    <row r="20" spans="1:29">
      <c r="A20" s="34">
        <v>1</v>
      </c>
      <c r="B20" s="12" t="s">
        <v>68</v>
      </c>
      <c r="C20" s="13">
        <v>2</v>
      </c>
      <c r="D20" s="169" t="s">
        <v>3</v>
      </c>
      <c r="E20" s="52">
        <v>6.4</v>
      </c>
      <c r="F20" s="56">
        <v>4490</v>
      </c>
      <c r="G20" s="54">
        <v>51</v>
      </c>
      <c r="H20" s="55" t="s">
        <v>33</v>
      </c>
      <c r="I20" s="56">
        <v>20.7</v>
      </c>
      <c r="J20" s="56">
        <v>1260</v>
      </c>
      <c r="K20" s="56" t="s">
        <v>34</v>
      </c>
      <c r="L20" s="56" t="s">
        <v>35</v>
      </c>
      <c r="M20" s="56" t="s">
        <v>36</v>
      </c>
      <c r="N20" s="63">
        <v>1040</v>
      </c>
      <c r="O20" s="56">
        <v>5.0999999999999996</v>
      </c>
      <c r="P20" s="56" t="s">
        <v>37</v>
      </c>
      <c r="Q20" s="56" t="s">
        <v>38</v>
      </c>
      <c r="R20" s="56">
        <v>64</v>
      </c>
      <c r="S20" s="56" t="s">
        <v>39</v>
      </c>
      <c r="T20" s="56" t="s">
        <v>40</v>
      </c>
      <c r="U20" s="56">
        <v>1300</v>
      </c>
      <c r="V20" s="56"/>
      <c r="W20" s="136">
        <v>187</v>
      </c>
      <c r="X20" s="56">
        <v>106</v>
      </c>
      <c r="Y20" s="56">
        <v>11.6</v>
      </c>
      <c r="Z20" s="56">
        <v>102</v>
      </c>
      <c r="AA20" s="56">
        <v>16.100000000000001</v>
      </c>
      <c r="AB20" s="56">
        <v>765</v>
      </c>
      <c r="AC20" s="56">
        <v>99.1</v>
      </c>
    </row>
    <row r="21" spans="1:29">
      <c r="A21" s="11">
        <v>1</v>
      </c>
      <c r="B21" s="12" t="s">
        <v>68</v>
      </c>
      <c r="C21" s="13">
        <v>2</v>
      </c>
      <c r="D21" s="60">
        <v>44312</v>
      </c>
      <c r="E21" s="52">
        <v>4.6900000000000004</v>
      </c>
      <c r="F21" s="56">
        <v>4100</v>
      </c>
      <c r="G21" s="54">
        <v>110</v>
      </c>
      <c r="H21" s="55" t="s">
        <v>33</v>
      </c>
      <c r="I21" s="56">
        <v>15.9</v>
      </c>
      <c r="J21" s="56">
        <v>967</v>
      </c>
      <c r="K21" s="56" t="s">
        <v>34</v>
      </c>
      <c r="L21" s="56" t="s">
        <v>35</v>
      </c>
      <c r="M21" s="56" t="s">
        <v>35</v>
      </c>
      <c r="N21" s="63">
        <v>890</v>
      </c>
      <c r="O21" s="56" t="s">
        <v>35</v>
      </c>
      <c r="P21" s="56">
        <v>5.45</v>
      </c>
      <c r="Q21" s="56" t="s">
        <v>41</v>
      </c>
      <c r="R21" s="56">
        <v>15</v>
      </c>
      <c r="S21" s="56" t="s">
        <v>39</v>
      </c>
      <c r="T21" s="56" t="s">
        <v>42</v>
      </c>
      <c r="U21" s="56">
        <v>1220</v>
      </c>
      <c r="V21" s="56"/>
      <c r="W21" s="136">
        <v>350</v>
      </c>
      <c r="X21" s="56">
        <v>54.6</v>
      </c>
      <c r="Y21" s="56">
        <v>7.07</v>
      </c>
      <c r="Z21" s="56">
        <v>81</v>
      </c>
      <c r="AA21" s="56">
        <v>20.6</v>
      </c>
      <c r="AB21" s="56">
        <v>714</v>
      </c>
      <c r="AC21" s="56">
        <v>96.1</v>
      </c>
    </row>
    <row r="22" spans="1:29">
      <c r="A22" s="11">
        <v>1</v>
      </c>
      <c r="B22" s="12" t="s">
        <v>68</v>
      </c>
      <c r="C22" s="13">
        <v>2</v>
      </c>
      <c r="D22" s="60">
        <v>44249</v>
      </c>
      <c r="E22" s="52">
        <v>5.18</v>
      </c>
      <c r="F22" s="56">
        <v>3820</v>
      </c>
      <c r="G22" s="54">
        <v>770</v>
      </c>
      <c r="H22" s="55" t="s">
        <v>33</v>
      </c>
      <c r="I22" s="56">
        <v>7.8</v>
      </c>
      <c r="J22" s="56">
        <v>476</v>
      </c>
      <c r="K22" s="56" t="s">
        <v>34</v>
      </c>
      <c r="L22" s="56" t="s">
        <v>35</v>
      </c>
      <c r="M22" s="56" t="s">
        <v>36</v>
      </c>
      <c r="N22" s="63">
        <v>1140</v>
      </c>
      <c r="O22" s="56">
        <v>0.6</v>
      </c>
      <c r="P22" s="56">
        <v>0.21</v>
      </c>
      <c r="Q22" s="56" t="s">
        <v>38</v>
      </c>
      <c r="R22" s="56" t="s">
        <v>46</v>
      </c>
      <c r="S22" s="56">
        <v>0.01</v>
      </c>
      <c r="T22" s="56" t="s">
        <v>40</v>
      </c>
      <c r="U22" s="56">
        <v>1120</v>
      </c>
      <c r="V22" s="56"/>
      <c r="W22" s="136">
        <v>391</v>
      </c>
      <c r="X22" s="56">
        <v>46.8</v>
      </c>
      <c r="Y22" s="56">
        <v>6.06</v>
      </c>
      <c r="Z22" s="56">
        <v>72.900000000000006</v>
      </c>
      <c r="AA22" s="56">
        <v>6.6</v>
      </c>
      <c r="AB22" s="56">
        <v>663</v>
      </c>
      <c r="AC22" s="56">
        <v>84.3</v>
      </c>
    </row>
    <row r="23" spans="1:29">
      <c r="A23" s="11">
        <v>1</v>
      </c>
      <c r="B23" s="12" t="s">
        <v>68</v>
      </c>
      <c r="C23" s="13">
        <v>2</v>
      </c>
      <c r="D23" s="60">
        <v>44217</v>
      </c>
      <c r="E23" s="52">
        <v>3.88</v>
      </c>
      <c r="F23" s="56">
        <v>4970</v>
      </c>
      <c r="G23" s="54">
        <v>370</v>
      </c>
      <c r="H23" s="55" t="s">
        <v>33</v>
      </c>
      <c r="I23" s="56" t="s">
        <v>33</v>
      </c>
      <c r="J23" s="56" t="s">
        <v>34</v>
      </c>
      <c r="K23" s="56" t="s">
        <v>34</v>
      </c>
      <c r="L23" s="56" t="s">
        <v>35</v>
      </c>
      <c r="M23" s="56" t="s">
        <v>35</v>
      </c>
      <c r="N23" s="63">
        <v>1190</v>
      </c>
      <c r="O23" s="56" t="s">
        <v>35</v>
      </c>
      <c r="P23" s="56" t="s">
        <v>37</v>
      </c>
      <c r="Q23" s="56" t="s">
        <v>41</v>
      </c>
      <c r="R23" s="56" t="s">
        <v>55</v>
      </c>
      <c r="S23" s="56" t="s">
        <v>39</v>
      </c>
      <c r="T23" s="56" t="s">
        <v>42</v>
      </c>
      <c r="U23" s="56">
        <v>1300</v>
      </c>
      <c r="V23" s="56"/>
      <c r="W23" s="136">
        <v>691</v>
      </c>
      <c r="X23" s="56">
        <v>56.7</v>
      </c>
      <c r="Y23" s="56">
        <v>7.62</v>
      </c>
      <c r="Z23" s="56">
        <v>78.099999999999994</v>
      </c>
      <c r="AA23" s="56">
        <v>7.9</v>
      </c>
      <c r="AB23" s="56">
        <v>771</v>
      </c>
      <c r="AC23" s="56">
        <v>95.5</v>
      </c>
    </row>
    <row r="24" spans="1:29">
      <c r="A24" s="11">
        <v>1</v>
      </c>
      <c r="B24" s="12" t="s">
        <v>68</v>
      </c>
      <c r="C24" s="13">
        <v>2</v>
      </c>
      <c r="D24" s="60">
        <v>44186</v>
      </c>
      <c r="E24" s="52">
        <v>6</v>
      </c>
      <c r="F24" s="56">
        <v>4740</v>
      </c>
      <c r="G24" s="54">
        <v>930</v>
      </c>
      <c r="H24" s="55" t="s">
        <v>33</v>
      </c>
      <c r="I24" s="56">
        <v>12.3</v>
      </c>
      <c r="J24" s="56">
        <v>750</v>
      </c>
      <c r="K24" s="53" t="s">
        <v>34</v>
      </c>
      <c r="L24" s="56" t="s">
        <v>35</v>
      </c>
      <c r="M24" s="56" t="s">
        <v>35</v>
      </c>
      <c r="N24" s="63">
        <v>1290</v>
      </c>
      <c r="O24" s="56" t="s">
        <v>35</v>
      </c>
      <c r="P24" s="56" t="s">
        <v>37</v>
      </c>
      <c r="Q24" s="56" t="s">
        <v>41</v>
      </c>
      <c r="R24" s="56" t="s">
        <v>55</v>
      </c>
      <c r="S24" s="56">
        <v>0.01</v>
      </c>
      <c r="T24" s="56" t="s">
        <v>42</v>
      </c>
      <c r="U24" s="56">
        <v>1470</v>
      </c>
      <c r="V24" s="87"/>
      <c r="W24" s="65">
        <v>1690</v>
      </c>
      <c r="X24" s="53">
        <v>43.7</v>
      </c>
      <c r="Y24" s="53">
        <v>7.47</v>
      </c>
      <c r="Z24" s="53">
        <v>75.400000000000006</v>
      </c>
      <c r="AA24" s="53">
        <v>9.6</v>
      </c>
      <c r="AB24" s="53">
        <v>901</v>
      </c>
      <c r="AC24" s="53">
        <v>90.8</v>
      </c>
    </row>
    <row r="25" spans="1:29" ht="15" thickBot="1">
      <c r="A25" s="24">
        <v>1</v>
      </c>
      <c r="B25" s="25" t="s">
        <v>68</v>
      </c>
      <c r="C25" s="26">
        <v>2</v>
      </c>
      <c r="D25" s="142">
        <v>44160</v>
      </c>
      <c r="E25" s="144">
        <v>7.45</v>
      </c>
      <c r="F25" s="145">
        <v>1150</v>
      </c>
      <c r="G25" s="190">
        <v>2.4</v>
      </c>
      <c r="H25" s="191" t="s">
        <v>33</v>
      </c>
      <c r="I25" s="145">
        <v>9.1</v>
      </c>
      <c r="J25" s="145">
        <v>555</v>
      </c>
      <c r="K25" s="192" t="s">
        <v>34</v>
      </c>
      <c r="L25" s="145" t="s">
        <v>35</v>
      </c>
      <c r="M25" s="145" t="s">
        <v>36</v>
      </c>
      <c r="N25" s="147">
        <v>108</v>
      </c>
      <c r="O25" s="145">
        <v>3.6</v>
      </c>
      <c r="P25" s="145" t="s">
        <v>37</v>
      </c>
      <c r="Q25" s="145">
        <v>50</v>
      </c>
      <c r="R25" s="145">
        <v>0.35</v>
      </c>
      <c r="S25" s="145">
        <v>0.01</v>
      </c>
      <c r="T25" s="145" t="s">
        <v>40</v>
      </c>
      <c r="U25" s="145">
        <v>217</v>
      </c>
      <c r="V25" s="107"/>
      <c r="W25" s="193">
        <v>1.5</v>
      </c>
      <c r="X25" s="192">
        <v>0.06</v>
      </c>
      <c r="Y25" s="192">
        <v>0.64</v>
      </c>
      <c r="Z25" s="192">
        <v>147</v>
      </c>
      <c r="AA25" s="192">
        <v>3.5</v>
      </c>
      <c r="AB25" s="192">
        <v>101</v>
      </c>
      <c r="AC25" s="192">
        <v>33</v>
      </c>
    </row>
    <row r="26" spans="1:29">
      <c r="A26" s="7">
        <v>2</v>
      </c>
      <c r="B26" s="8" t="s">
        <v>68</v>
      </c>
      <c r="C26" s="9">
        <v>3</v>
      </c>
      <c r="D26" s="131">
        <v>45783</v>
      </c>
      <c r="E26" s="44">
        <v>6.92</v>
      </c>
      <c r="F26" s="48">
        <v>2600</v>
      </c>
      <c r="G26" s="46">
        <v>5.7</v>
      </c>
      <c r="H26" s="47" t="s">
        <v>33</v>
      </c>
      <c r="I26" s="47">
        <v>13.3</v>
      </c>
      <c r="J26" s="48">
        <v>811</v>
      </c>
      <c r="K26" s="48" t="s">
        <v>34</v>
      </c>
      <c r="L26" s="48" t="s">
        <v>35</v>
      </c>
      <c r="M26" s="48" t="s">
        <v>35</v>
      </c>
      <c r="N26" s="132">
        <v>650</v>
      </c>
      <c r="O26" s="48" t="s">
        <v>35</v>
      </c>
      <c r="P26" s="48" t="s">
        <v>37</v>
      </c>
      <c r="Q26" s="48" t="s">
        <v>41</v>
      </c>
      <c r="R26" s="48">
        <v>9.6</v>
      </c>
      <c r="S26" s="48" t="s">
        <v>39</v>
      </c>
      <c r="T26" s="48" t="s">
        <v>42</v>
      </c>
      <c r="U26" s="48">
        <v>743</v>
      </c>
      <c r="V26" s="48"/>
      <c r="W26" s="133" t="s">
        <v>42</v>
      </c>
      <c r="X26" s="48">
        <v>24.4</v>
      </c>
      <c r="Y26" s="48">
        <v>4.3600000000000003</v>
      </c>
      <c r="Z26" s="48">
        <v>79.3</v>
      </c>
      <c r="AA26" s="48">
        <v>4</v>
      </c>
      <c r="AB26" s="48">
        <v>429</v>
      </c>
      <c r="AC26" s="48">
        <v>61.9</v>
      </c>
    </row>
    <row r="27" spans="1:29">
      <c r="A27" s="11">
        <v>2</v>
      </c>
      <c r="B27" s="12" t="s">
        <v>68</v>
      </c>
      <c r="C27" s="13">
        <v>3</v>
      </c>
      <c r="D27" s="60">
        <v>45567</v>
      </c>
      <c r="E27" s="52">
        <v>6.74</v>
      </c>
      <c r="F27" s="56">
        <v>2630</v>
      </c>
      <c r="G27" s="54">
        <v>6.2</v>
      </c>
      <c r="H27" s="55" t="s">
        <v>33</v>
      </c>
      <c r="I27" s="55">
        <v>14.3</v>
      </c>
      <c r="J27" s="56">
        <v>872</v>
      </c>
      <c r="K27" s="56" t="s">
        <v>34</v>
      </c>
      <c r="L27" s="56" t="s">
        <v>35</v>
      </c>
      <c r="M27" s="56" t="s">
        <v>36</v>
      </c>
      <c r="N27" s="63">
        <v>450</v>
      </c>
      <c r="O27" s="56">
        <v>1.5</v>
      </c>
      <c r="P27" s="56" t="s">
        <v>37</v>
      </c>
      <c r="Q27" s="56" t="s">
        <v>38</v>
      </c>
      <c r="R27" s="56">
        <v>4</v>
      </c>
      <c r="S27" s="56" t="s">
        <v>39</v>
      </c>
      <c r="T27" s="56" t="s">
        <v>40</v>
      </c>
      <c r="U27" s="56">
        <v>693</v>
      </c>
      <c r="V27" s="56"/>
      <c r="W27" s="136" t="s">
        <v>42</v>
      </c>
      <c r="X27" s="56">
        <v>13.8</v>
      </c>
      <c r="Y27" s="56">
        <v>3.94</v>
      </c>
      <c r="Z27" s="56">
        <v>82.9</v>
      </c>
      <c r="AA27" s="56">
        <v>3.4</v>
      </c>
      <c r="AB27" s="56">
        <v>399</v>
      </c>
      <c r="AC27" s="56">
        <v>58.2</v>
      </c>
    </row>
    <row r="28" spans="1:29">
      <c r="A28" s="11">
        <v>2</v>
      </c>
      <c r="B28" s="12" t="s">
        <v>68</v>
      </c>
      <c r="C28" s="13">
        <v>3</v>
      </c>
      <c r="D28" s="60">
        <v>45510</v>
      </c>
      <c r="E28" s="52">
        <v>6.88</v>
      </c>
      <c r="F28" s="56">
        <v>2580</v>
      </c>
      <c r="G28" s="54" t="s">
        <v>36</v>
      </c>
      <c r="H28" s="55" t="s">
        <v>33</v>
      </c>
      <c r="I28" s="55">
        <v>13.8</v>
      </c>
      <c r="J28" s="56">
        <v>842</v>
      </c>
      <c r="K28" s="56" t="s">
        <v>34</v>
      </c>
      <c r="L28" s="56" t="s">
        <v>35</v>
      </c>
      <c r="M28" s="56" t="s">
        <v>36</v>
      </c>
      <c r="N28" s="63">
        <v>493</v>
      </c>
      <c r="O28" s="56">
        <v>1.5</v>
      </c>
      <c r="P28" s="56" t="s">
        <v>37</v>
      </c>
      <c r="Q28" s="56" t="s">
        <v>38</v>
      </c>
      <c r="R28" s="56">
        <v>7.3</v>
      </c>
      <c r="S28" s="56" t="s">
        <v>39</v>
      </c>
      <c r="T28" s="56" t="s">
        <v>40</v>
      </c>
      <c r="U28" s="56">
        <v>677</v>
      </c>
      <c r="V28" s="56"/>
      <c r="W28" s="136" t="s">
        <v>46</v>
      </c>
      <c r="X28" s="56">
        <v>14</v>
      </c>
      <c r="Y28" s="56">
        <v>3.81</v>
      </c>
      <c r="Z28" s="56">
        <v>87.6</v>
      </c>
      <c r="AA28" s="56">
        <v>3.8</v>
      </c>
      <c r="AB28" s="56">
        <v>390</v>
      </c>
      <c r="AC28" s="56">
        <v>57</v>
      </c>
    </row>
    <row r="29" spans="1:29">
      <c r="A29" s="11">
        <v>2</v>
      </c>
      <c r="B29" s="12" t="s">
        <v>68</v>
      </c>
      <c r="C29" s="13">
        <v>3</v>
      </c>
      <c r="D29" s="60">
        <v>45426</v>
      </c>
      <c r="E29" s="52">
        <v>7.35</v>
      </c>
      <c r="F29" s="56">
        <v>2430</v>
      </c>
      <c r="G29" s="54">
        <v>13</v>
      </c>
      <c r="H29" s="55" t="s">
        <v>33</v>
      </c>
      <c r="I29" s="55">
        <v>14.5</v>
      </c>
      <c r="J29" s="56">
        <v>885</v>
      </c>
      <c r="K29" s="56" t="s">
        <v>34</v>
      </c>
      <c r="L29" s="56" t="s">
        <v>35</v>
      </c>
      <c r="M29" s="56" t="s">
        <v>36</v>
      </c>
      <c r="N29" s="63">
        <v>453</v>
      </c>
      <c r="O29" s="56">
        <v>1.5</v>
      </c>
      <c r="P29" s="56" t="s">
        <v>37</v>
      </c>
      <c r="Q29" s="56" t="s">
        <v>38</v>
      </c>
      <c r="R29" s="56">
        <v>4.2</v>
      </c>
      <c r="S29" s="56">
        <v>0.02</v>
      </c>
      <c r="T29" s="56" t="s">
        <v>40</v>
      </c>
      <c r="U29" s="56">
        <v>681</v>
      </c>
      <c r="V29" s="56"/>
      <c r="W29" s="136">
        <v>25.8</v>
      </c>
      <c r="X29" s="56">
        <v>13.7</v>
      </c>
      <c r="Y29" s="56">
        <v>3.92</v>
      </c>
      <c r="Z29" s="56">
        <v>85.9</v>
      </c>
      <c r="AA29" s="56">
        <v>3.3</v>
      </c>
      <c r="AB29" s="56">
        <v>394</v>
      </c>
      <c r="AC29" s="56">
        <v>56.2</v>
      </c>
    </row>
    <row r="30" spans="1:29">
      <c r="A30" s="11">
        <v>2</v>
      </c>
      <c r="B30" s="12" t="s">
        <v>68</v>
      </c>
      <c r="C30" s="13">
        <v>3</v>
      </c>
      <c r="D30" s="60">
        <v>45357</v>
      </c>
      <c r="E30" s="52">
        <v>6.91</v>
      </c>
      <c r="F30" s="56">
        <v>2430</v>
      </c>
      <c r="G30" s="54">
        <v>8.6</v>
      </c>
      <c r="H30" s="55" t="s">
        <v>33</v>
      </c>
      <c r="I30" s="55">
        <v>15.3</v>
      </c>
      <c r="J30" s="56">
        <v>933</v>
      </c>
      <c r="K30" s="56" t="s">
        <v>34</v>
      </c>
      <c r="L30" s="56" t="s">
        <v>35</v>
      </c>
      <c r="M30" s="56" t="s">
        <v>35</v>
      </c>
      <c r="N30" s="63">
        <v>430</v>
      </c>
      <c r="O30" s="56" t="s">
        <v>35</v>
      </c>
      <c r="P30" s="56" t="s">
        <v>37</v>
      </c>
      <c r="Q30" s="56" t="s">
        <v>41</v>
      </c>
      <c r="R30" s="56">
        <v>3.2</v>
      </c>
      <c r="S30" s="56">
        <v>0.01</v>
      </c>
      <c r="T30" s="56" t="s">
        <v>42</v>
      </c>
      <c r="U30" s="56">
        <v>667</v>
      </c>
      <c r="V30" s="56"/>
      <c r="W30" s="136" t="s">
        <v>36</v>
      </c>
      <c r="X30" s="56">
        <v>15.6</v>
      </c>
      <c r="Y30" s="56">
        <v>4.0999999999999996</v>
      </c>
      <c r="Z30" s="56">
        <v>76.599999999999994</v>
      </c>
      <c r="AA30" s="56">
        <v>2.8</v>
      </c>
      <c r="AB30" s="56">
        <v>388</v>
      </c>
      <c r="AC30" s="56">
        <v>53.7</v>
      </c>
    </row>
    <row r="31" spans="1:29">
      <c r="A31" s="11">
        <v>2</v>
      </c>
      <c r="B31" s="12" t="s">
        <v>68</v>
      </c>
      <c r="C31" s="13">
        <v>3</v>
      </c>
      <c r="D31" s="60">
        <v>45335</v>
      </c>
      <c r="E31" s="52">
        <v>6.86</v>
      </c>
      <c r="F31" s="56">
        <v>2400</v>
      </c>
      <c r="G31" s="54">
        <v>11</v>
      </c>
      <c r="H31" s="55" t="s">
        <v>33</v>
      </c>
      <c r="I31" s="56">
        <v>15.2</v>
      </c>
      <c r="J31" s="56">
        <v>927</v>
      </c>
      <c r="K31" s="56" t="s">
        <v>34</v>
      </c>
      <c r="L31" s="56" t="s">
        <v>35</v>
      </c>
      <c r="M31" s="56" t="s">
        <v>36</v>
      </c>
      <c r="N31" s="63">
        <v>481</v>
      </c>
      <c r="O31" s="56">
        <v>1.4</v>
      </c>
      <c r="P31" s="56" t="s">
        <v>37</v>
      </c>
      <c r="Q31" s="56" t="s">
        <v>38</v>
      </c>
      <c r="R31" s="56">
        <v>4.8</v>
      </c>
      <c r="S31" s="56" t="s">
        <v>39</v>
      </c>
      <c r="T31" s="56" t="s">
        <v>40</v>
      </c>
      <c r="U31" s="56">
        <v>681</v>
      </c>
      <c r="V31" s="12"/>
      <c r="W31" s="136">
        <v>11.8</v>
      </c>
      <c r="X31" s="56">
        <v>13.8</v>
      </c>
      <c r="Y31" s="56">
        <v>4.17</v>
      </c>
      <c r="Z31" s="56">
        <v>74.400000000000006</v>
      </c>
      <c r="AA31" s="56">
        <v>3.2</v>
      </c>
      <c r="AB31" s="56">
        <v>397</v>
      </c>
      <c r="AC31" s="56">
        <v>54.2</v>
      </c>
    </row>
    <row r="32" spans="1:29">
      <c r="A32" s="11">
        <v>2</v>
      </c>
      <c r="B32" s="12" t="s">
        <v>68</v>
      </c>
      <c r="C32" s="13">
        <v>3</v>
      </c>
      <c r="D32" s="60">
        <v>44747</v>
      </c>
      <c r="E32" s="52">
        <v>6.82</v>
      </c>
      <c r="F32" s="56">
        <v>2110</v>
      </c>
      <c r="G32" s="54">
        <v>10</v>
      </c>
      <c r="H32" s="55" t="s">
        <v>33</v>
      </c>
      <c r="I32" s="55">
        <v>13.7</v>
      </c>
      <c r="J32" s="56">
        <v>836</v>
      </c>
      <c r="K32" s="56" t="s">
        <v>34</v>
      </c>
      <c r="L32" s="56" t="s">
        <v>35</v>
      </c>
      <c r="M32" s="56" t="s">
        <v>35</v>
      </c>
      <c r="N32" s="63">
        <v>370</v>
      </c>
      <c r="O32" s="56">
        <v>3</v>
      </c>
      <c r="P32" s="56" t="s">
        <v>37</v>
      </c>
      <c r="Q32" s="56" t="s">
        <v>41</v>
      </c>
      <c r="R32" s="56">
        <v>3.5</v>
      </c>
      <c r="S32" s="56" t="s">
        <v>39</v>
      </c>
      <c r="T32" s="56" t="s">
        <v>42</v>
      </c>
      <c r="U32" s="56">
        <v>641</v>
      </c>
      <c r="V32" s="56"/>
      <c r="W32" s="136">
        <v>121</v>
      </c>
      <c r="X32" s="56">
        <v>20.3</v>
      </c>
      <c r="Y32" s="56">
        <v>4.3</v>
      </c>
      <c r="Z32" s="56">
        <v>77.2</v>
      </c>
      <c r="AA32" s="56">
        <v>3.5</v>
      </c>
      <c r="AB32" s="56">
        <v>377</v>
      </c>
      <c r="AC32" s="56">
        <v>49.2</v>
      </c>
    </row>
    <row r="33" spans="1:29">
      <c r="A33" s="11">
        <v>2</v>
      </c>
      <c r="B33" s="12" t="s">
        <v>68</v>
      </c>
      <c r="C33" s="13">
        <v>3</v>
      </c>
      <c r="D33" s="60">
        <v>44613</v>
      </c>
      <c r="E33" s="52">
        <v>6.74</v>
      </c>
      <c r="F33" s="56">
        <v>2890</v>
      </c>
      <c r="G33" s="54">
        <v>5.3</v>
      </c>
      <c r="H33" s="55" t="s">
        <v>33</v>
      </c>
      <c r="I33" s="55">
        <v>14.7</v>
      </c>
      <c r="J33" s="56">
        <v>897</v>
      </c>
      <c r="K33" s="56" t="s">
        <v>34</v>
      </c>
      <c r="L33" s="56" t="s">
        <v>35</v>
      </c>
      <c r="M33" s="56" t="s">
        <v>36</v>
      </c>
      <c r="N33" s="63">
        <v>681</v>
      </c>
      <c r="O33" s="56">
        <v>1.5</v>
      </c>
      <c r="P33" s="56" t="s">
        <v>37</v>
      </c>
      <c r="Q33" s="56" t="s">
        <v>38</v>
      </c>
      <c r="R33" s="56">
        <v>19</v>
      </c>
      <c r="S33" s="56" t="s">
        <v>39</v>
      </c>
      <c r="T33" s="56" t="s">
        <v>40</v>
      </c>
      <c r="U33" s="56">
        <v>700</v>
      </c>
      <c r="V33" s="56"/>
      <c r="W33" s="136">
        <v>1.3</v>
      </c>
      <c r="X33" s="56">
        <v>48.8</v>
      </c>
      <c r="Y33" s="56">
        <v>4.9800000000000004</v>
      </c>
      <c r="Z33" s="56">
        <v>172</v>
      </c>
      <c r="AA33" s="56">
        <v>8.6999999999999993</v>
      </c>
      <c r="AB33" s="56">
        <v>407</v>
      </c>
      <c r="AC33" s="56">
        <v>56.4</v>
      </c>
    </row>
    <row r="34" spans="1:29">
      <c r="A34" s="11">
        <v>2</v>
      </c>
      <c r="B34" s="12" t="s">
        <v>68</v>
      </c>
      <c r="C34" s="13">
        <v>3</v>
      </c>
      <c r="D34" s="60">
        <v>44515</v>
      </c>
      <c r="E34" s="52">
        <v>6.69</v>
      </c>
      <c r="F34" s="56">
        <v>4090</v>
      </c>
      <c r="G34" s="54">
        <v>7.9</v>
      </c>
      <c r="H34" s="55" t="s">
        <v>33</v>
      </c>
      <c r="I34" s="55">
        <v>16.7</v>
      </c>
      <c r="J34" s="56">
        <v>1020</v>
      </c>
      <c r="K34" s="56" t="s">
        <v>34</v>
      </c>
      <c r="L34" s="56" t="s">
        <v>35</v>
      </c>
      <c r="M34" s="56" t="s">
        <v>35</v>
      </c>
      <c r="N34" s="63">
        <v>1030</v>
      </c>
      <c r="O34" s="56">
        <v>4</v>
      </c>
      <c r="P34" s="56" t="s">
        <v>37</v>
      </c>
      <c r="Q34" s="56" t="s">
        <v>41</v>
      </c>
      <c r="R34" s="56">
        <v>19</v>
      </c>
      <c r="S34" s="56" t="s">
        <v>39</v>
      </c>
      <c r="T34" s="56" t="s">
        <v>42</v>
      </c>
      <c r="U34" s="56">
        <v>867</v>
      </c>
      <c r="V34" s="56"/>
      <c r="W34" s="136">
        <v>10.6</v>
      </c>
      <c r="X34" s="56">
        <v>72.7</v>
      </c>
      <c r="Y34" s="56">
        <v>6.24</v>
      </c>
      <c r="Z34" s="56">
        <v>179</v>
      </c>
      <c r="AA34" s="56">
        <v>8.8000000000000007</v>
      </c>
      <c r="AB34" s="56">
        <v>504</v>
      </c>
      <c r="AC34" s="56">
        <v>70</v>
      </c>
    </row>
    <row r="35" spans="1:29">
      <c r="A35" s="11">
        <v>2</v>
      </c>
      <c r="B35" s="12" t="s">
        <v>68</v>
      </c>
      <c r="C35" s="13">
        <v>3</v>
      </c>
      <c r="D35" s="60">
        <v>44431</v>
      </c>
      <c r="E35" s="52">
        <v>6.84</v>
      </c>
      <c r="F35" s="56">
        <v>4690</v>
      </c>
      <c r="G35" s="54">
        <v>52</v>
      </c>
      <c r="H35" s="55" t="s">
        <v>33</v>
      </c>
      <c r="I35" s="55">
        <v>28.9</v>
      </c>
      <c r="J35" s="56">
        <v>1760</v>
      </c>
      <c r="K35" s="56" t="s">
        <v>34</v>
      </c>
      <c r="L35" s="56" t="s">
        <v>35</v>
      </c>
      <c r="M35" s="56" t="s">
        <v>35</v>
      </c>
      <c r="N35" s="63">
        <v>1020</v>
      </c>
      <c r="O35" s="56">
        <v>4</v>
      </c>
      <c r="P35" s="56" t="s">
        <v>48</v>
      </c>
      <c r="Q35" s="56" t="s">
        <v>41</v>
      </c>
      <c r="R35" s="56">
        <v>29</v>
      </c>
      <c r="S35" s="56" t="s">
        <v>39</v>
      </c>
      <c r="T35" s="56" t="s">
        <v>42</v>
      </c>
      <c r="U35" s="56">
        <v>1220</v>
      </c>
      <c r="V35" s="56"/>
      <c r="W35" s="136">
        <v>23.5</v>
      </c>
      <c r="X35" s="56">
        <v>122</v>
      </c>
      <c r="Y35" s="56">
        <v>10.3</v>
      </c>
      <c r="Z35" s="56">
        <v>193</v>
      </c>
      <c r="AA35" s="56">
        <v>11.2</v>
      </c>
      <c r="AB35" s="56">
        <v>718</v>
      </c>
      <c r="AC35" s="56">
        <v>92.1</v>
      </c>
    </row>
    <row r="36" spans="1:29">
      <c r="A36" s="11">
        <v>2</v>
      </c>
      <c r="B36" s="12" t="s">
        <v>68</v>
      </c>
      <c r="C36" s="13">
        <v>3</v>
      </c>
      <c r="D36" s="169" t="s">
        <v>3</v>
      </c>
      <c r="E36" s="52">
        <v>5.08</v>
      </c>
      <c r="F36" s="56">
        <v>6400</v>
      </c>
      <c r="G36" s="54">
        <v>430</v>
      </c>
      <c r="H36" s="55" t="s">
        <v>33</v>
      </c>
      <c r="I36" s="55">
        <v>26.7</v>
      </c>
      <c r="J36" s="56">
        <v>1630</v>
      </c>
      <c r="K36" s="56" t="s">
        <v>34</v>
      </c>
      <c r="L36" s="56" t="s">
        <v>35</v>
      </c>
      <c r="M36" s="56" t="s">
        <v>36</v>
      </c>
      <c r="N36" s="63">
        <v>1070</v>
      </c>
      <c r="O36" s="56">
        <v>2.7</v>
      </c>
      <c r="P36" s="56">
        <v>2.0499999999999998</v>
      </c>
      <c r="Q36" s="56" t="s">
        <v>38</v>
      </c>
      <c r="R36" s="56">
        <v>4.8</v>
      </c>
      <c r="S36" s="56" t="s">
        <v>39</v>
      </c>
      <c r="T36" s="56" t="s">
        <v>40</v>
      </c>
      <c r="U36" s="56">
        <v>1920</v>
      </c>
      <c r="V36" s="56"/>
      <c r="W36" s="136">
        <v>610</v>
      </c>
      <c r="X36" s="56">
        <v>315</v>
      </c>
      <c r="Y36" s="56">
        <v>17</v>
      </c>
      <c r="Z36" s="56">
        <v>192</v>
      </c>
      <c r="AA36" s="56">
        <v>21.5</v>
      </c>
      <c r="AB36" s="56">
        <v>1160</v>
      </c>
      <c r="AC36" s="56">
        <v>129</v>
      </c>
    </row>
    <row r="37" spans="1:29">
      <c r="A37" s="11">
        <v>2</v>
      </c>
      <c r="B37" s="12" t="s">
        <v>68</v>
      </c>
      <c r="C37" s="13">
        <v>3</v>
      </c>
      <c r="D37" s="60">
        <v>44312</v>
      </c>
      <c r="E37" s="52">
        <v>4.2699999999999996</v>
      </c>
      <c r="F37" s="56">
        <v>4140</v>
      </c>
      <c r="G37" s="54">
        <v>2800</v>
      </c>
      <c r="H37" s="55" t="s">
        <v>33</v>
      </c>
      <c r="I37" s="55" t="s">
        <v>33</v>
      </c>
      <c r="J37" s="56" t="s">
        <v>34</v>
      </c>
      <c r="K37" s="56" t="s">
        <v>34</v>
      </c>
      <c r="L37" s="56" t="s">
        <v>35</v>
      </c>
      <c r="M37" s="56" t="s">
        <v>35</v>
      </c>
      <c r="N37" s="63">
        <v>930</v>
      </c>
      <c r="O37" s="56">
        <v>3</v>
      </c>
      <c r="P37" s="56">
        <v>1.38</v>
      </c>
      <c r="Q37" s="56" t="s">
        <v>41</v>
      </c>
      <c r="R37" s="56">
        <v>3.2</v>
      </c>
      <c r="S37" s="56" t="s">
        <v>39</v>
      </c>
      <c r="T37" s="56" t="s">
        <v>42</v>
      </c>
      <c r="U37" s="56">
        <v>1200</v>
      </c>
      <c r="V37" s="56"/>
      <c r="W37" s="136">
        <v>831</v>
      </c>
      <c r="X37" s="56">
        <v>87.9</v>
      </c>
      <c r="Y37" s="56">
        <v>7.73</v>
      </c>
      <c r="Z37" s="56">
        <v>104</v>
      </c>
      <c r="AA37" s="56">
        <v>17.8</v>
      </c>
      <c r="AB37" s="56">
        <v>705</v>
      </c>
      <c r="AC37" s="56">
        <v>92.7</v>
      </c>
    </row>
    <row r="38" spans="1:29" ht="15" thickBot="1">
      <c r="A38" s="15">
        <v>2</v>
      </c>
      <c r="B38" s="16" t="s">
        <v>68</v>
      </c>
      <c r="C38" s="17">
        <v>3</v>
      </c>
      <c r="D38" s="157">
        <v>44159</v>
      </c>
      <c r="E38" s="111">
        <v>8.07</v>
      </c>
      <c r="F38" s="115">
        <v>1080</v>
      </c>
      <c r="G38" s="113">
        <v>3.9</v>
      </c>
      <c r="H38" s="114" t="s">
        <v>33</v>
      </c>
      <c r="I38" s="114">
        <v>7.6</v>
      </c>
      <c r="J38" s="115">
        <v>464</v>
      </c>
      <c r="K38" s="115" t="s">
        <v>34</v>
      </c>
      <c r="L38" s="112" t="s">
        <v>35</v>
      </c>
      <c r="M38" s="115" t="s">
        <v>36</v>
      </c>
      <c r="N38" s="116">
        <v>139</v>
      </c>
      <c r="O38" s="115">
        <v>2.1</v>
      </c>
      <c r="P38" s="115">
        <v>0.09</v>
      </c>
      <c r="Q38" s="115">
        <v>70</v>
      </c>
      <c r="R38" s="115">
        <v>0.8</v>
      </c>
      <c r="S38" s="115" t="s">
        <v>39</v>
      </c>
      <c r="T38" s="115" t="s">
        <v>40</v>
      </c>
      <c r="U38" s="115">
        <v>155</v>
      </c>
      <c r="V38" s="71"/>
      <c r="W38" s="160">
        <v>0.9</v>
      </c>
      <c r="X38" s="112">
        <v>0.42</v>
      </c>
      <c r="Y38" s="112">
        <v>0.51</v>
      </c>
      <c r="Z38" s="112">
        <v>168</v>
      </c>
      <c r="AA38" s="112">
        <v>3</v>
      </c>
      <c r="AB38" s="112">
        <v>77.3</v>
      </c>
      <c r="AC38" s="112">
        <v>20.399999999999999</v>
      </c>
    </row>
    <row r="39" spans="1:29">
      <c r="A39" s="11">
        <v>2</v>
      </c>
      <c r="B39" s="12" t="s">
        <v>68</v>
      </c>
      <c r="C39" s="13">
        <v>4</v>
      </c>
      <c r="D39" s="60">
        <v>45792</v>
      </c>
      <c r="E39" s="52">
        <v>6.98</v>
      </c>
      <c r="F39" s="56">
        <v>2430</v>
      </c>
      <c r="G39" s="54">
        <v>4</v>
      </c>
      <c r="H39" s="55" t="s">
        <v>33</v>
      </c>
      <c r="I39" s="55">
        <v>12.9</v>
      </c>
      <c r="J39" s="56">
        <v>787</v>
      </c>
      <c r="K39" s="56" t="s">
        <v>34</v>
      </c>
      <c r="L39" s="56" t="s">
        <v>35</v>
      </c>
      <c r="M39" s="56" t="s">
        <v>36</v>
      </c>
      <c r="N39" s="63">
        <v>589</v>
      </c>
      <c r="O39" s="56">
        <v>1.5</v>
      </c>
      <c r="P39" s="56" t="s">
        <v>37</v>
      </c>
      <c r="Q39" s="56" t="s">
        <v>38</v>
      </c>
      <c r="R39" s="56">
        <v>5.5</v>
      </c>
      <c r="S39" s="56" t="s">
        <v>39</v>
      </c>
      <c r="T39" s="56" t="s">
        <v>40</v>
      </c>
      <c r="U39" s="56">
        <v>688</v>
      </c>
      <c r="V39" s="56"/>
      <c r="W39" s="136" t="s">
        <v>42</v>
      </c>
      <c r="X39" s="56">
        <v>20</v>
      </c>
      <c r="Y39" s="56">
        <v>3.99</v>
      </c>
      <c r="Z39" s="56">
        <v>70.400000000000006</v>
      </c>
      <c r="AA39" s="56">
        <v>3.2</v>
      </c>
      <c r="AB39" s="56">
        <v>399</v>
      </c>
      <c r="AC39" s="56">
        <v>56.3</v>
      </c>
    </row>
    <row r="40" spans="1:29">
      <c r="A40" s="19">
        <v>2</v>
      </c>
      <c r="B40" s="20" t="s">
        <v>68</v>
      </c>
      <c r="C40" s="21">
        <v>4</v>
      </c>
      <c r="D40" s="168">
        <v>45244</v>
      </c>
      <c r="E40" s="74">
        <v>6.99</v>
      </c>
      <c r="F40" s="78">
        <v>2790</v>
      </c>
      <c r="G40" s="76">
        <v>6.3</v>
      </c>
      <c r="H40" s="77" t="s">
        <v>33</v>
      </c>
      <c r="I40" s="77">
        <v>13.6</v>
      </c>
      <c r="J40" s="78">
        <v>830</v>
      </c>
      <c r="K40" s="78" t="s">
        <v>34</v>
      </c>
      <c r="L40" s="78" t="s">
        <v>35</v>
      </c>
      <c r="M40" s="78" t="s">
        <v>36</v>
      </c>
      <c r="N40" s="120">
        <v>722</v>
      </c>
      <c r="O40" s="78">
        <v>1.3</v>
      </c>
      <c r="P40" s="78" t="s">
        <v>37</v>
      </c>
      <c r="Q40" s="78" t="s">
        <v>38</v>
      </c>
      <c r="R40" s="78">
        <v>3.9</v>
      </c>
      <c r="S40" s="78">
        <v>0.01</v>
      </c>
      <c r="T40" s="78" t="s">
        <v>40</v>
      </c>
      <c r="U40" s="78">
        <v>832</v>
      </c>
      <c r="V40" s="78"/>
      <c r="W40" s="200">
        <v>30</v>
      </c>
      <c r="X40" s="78">
        <v>17.3</v>
      </c>
      <c r="Y40" s="78">
        <v>4.5599999999999996</v>
      </c>
      <c r="Z40" s="78">
        <v>71.099999999999994</v>
      </c>
      <c r="AA40" s="78">
        <v>5.0999999999999996</v>
      </c>
      <c r="AB40" s="78">
        <v>490</v>
      </c>
      <c r="AC40" s="78">
        <v>63.6</v>
      </c>
    </row>
    <row r="41" spans="1:29">
      <c r="A41" s="11">
        <v>2</v>
      </c>
      <c r="B41" s="12" t="s">
        <v>68</v>
      </c>
      <c r="C41" s="13">
        <v>4</v>
      </c>
      <c r="D41" s="60">
        <v>45160</v>
      </c>
      <c r="E41" s="52">
        <v>6.75</v>
      </c>
      <c r="F41" s="56">
        <v>2680</v>
      </c>
      <c r="G41" s="54">
        <v>5</v>
      </c>
      <c r="H41" s="55" t="s">
        <v>33</v>
      </c>
      <c r="I41" s="55">
        <v>13.2</v>
      </c>
      <c r="J41" s="56">
        <v>805</v>
      </c>
      <c r="K41" s="56" t="s">
        <v>34</v>
      </c>
      <c r="L41" s="56" t="s">
        <v>35</v>
      </c>
      <c r="M41" s="56" t="s">
        <v>36</v>
      </c>
      <c r="N41" s="63">
        <v>587</v>
      </c>
      <c r="O41" s="56">
        <v>1.2</v>
      </c>
      <c r="P41" s="56" t="s">
        <v>37</v>
      </c>
      <c r="Q41" s="56" t="s">
        <v>38</v>
      </c>
      <c r="R41" s="56">
        <v>4.5</v>
      </c>
      <c r="S41" s="56" t="s">
        <v>39</v>
      </c>
      <c r="T41" s="56" t="s">
        <v>40</v>
      </c>
      <c r="U41" s="56">
        <v>753</v>
      </c>
      <c r="V41" s="56"/>
      <c r="W41" s="136">
        <v>17.7</v>
      </c>
      <c r="X41" s="56">
        <v>22.5</v>
      </c>
      <c r="Y41" s="56">
        <v>3.95</v>
      </c>
      <c r="Z41" s="56">
        <v>74.900000000000006</v>
      </c>
      <c r="AA41" s="56">
        <v>5</v>
      </c>
      <c r="AB41" s="56">
        <v>442</v>
      </c>
      <c r="AC41" s="56">
        <v>58.4</v>
      </c>
    </row>
    <row r="42" spans="1:29">
      <c r="A42" s="11">
        <v>2</v>
      </c>
      <c r="B42" s="12" t="s">
        <v>68</v>
      </c>
      <c r="C42" s="13">
        <v>4</v>
      </c>
      <c r="D42" s="60">
        <v>45062</v>
      </c>
      <c r="E42" s="52">
        <v>6.98</v>
      </c>
      <c r="F42" s="56">
        <v>2720</v>
      </c>
      <c r="G42" s="54">
        <v>5.5</v>
      </c>
      <c r="H42" s="55" t="s">
        <v>33</v>
      </c>
      <c r="I42" s="55">
        <v>13.7</v>
      </c>
      <c r="J42" s="56">
        <v>836</v>
      </c>
      <c r="K42" s="56" t="s">
        <v>34</v>
      </c>
      <c r="L42" s="56" t="s">
        <v>35</v>
      </c>
      <c r="M42" s="56" t="s">
        <v>35</v>
      </c>
      <c r="N42" s="63">
        <v>670</v>
      </c>
      <c r="O42" s="56" t="s">
        <v>35</v>
      </c>
      <c r="P42" s="56" t="s">
        <v>37</v>
      </c>
      <c r="Q42" s="56" t="s">
        <v>41</v>
      </c>
      <c r="R42" s="56">
        <v>4.7</v>
      </c>
      <c r="S42" s="56" t="s">
        <v>39</v>
      </c>
      <c r="T42" s="56" t="s">
        <v>42</v>
      </c>
      <c r="U42" s="56">
        <v>802</v>
      </c>
      <c r="V42" s="56"/>
      <c r="W42" s="136">
        <v>46</v>
      </c>
      <c r="X42" s="56">
        <v>31.5</v>
      </c>
      <c r="Y42" s="56">
        <v>4.68</v>
      </c>
      <c r="Z42" s="56">
        <v>73.8</v>
      </c>
      <c r="AA42" s="56">
        <v>3.4</v>
      </c>
      <c r="AB42" s="56">
        <v>471</v>
      </c>
      <c r="AC42" s="56">
        <v>62.1</v>
      </c>
    </row>
    <row r="43" spans="1:29">
      <c r="A43" s="11">
        <v>2</v>
      </c>
      <c r="B43" s="12" t="s">
        <v>68</v>
      </c>
      <c r="C43" s="13">
        <v>4</v>
      </c>
      <c r="D43" s="60">
        <v>44978</v>
      </c>
      <c r="E43" s="52">
        <v>6.86</v>
      </c>
      <c r="F43" s="56">
        <v>2260</v>
      </c>
      <c r="G43" s="54">
        <v>7.6</v>
      </c>
      <c r="H43" s="55" t="s">
        <v>33</v>
      </c>
      <c r="I43" s="55">
        <v>12.7</v>
      </c>
      <c r="J43" s="56">
        <v>775</v>
      </c>
      <c r="K43" s="56" t="s">
        <v>34</v>
      </c>
      <c r="L43" s="56" t="s">
        <v>35</v>
      </c>
      <c r="M43" s="56" t="s">
        <v>35</v>
      </c>
      <c r="N43" s="63">
        <v>420</v>
      </c>
      <c r="O43" s="56" t="s">
        <v>35</v>
      </c>
      <c r="P43" s="56" t="s">
        <v>37</v>
      </c>
      <c r="Q43" s="56" t="s">
        <v>41</v>
      </c>
      <c r="R43" s="56">
        <v>2.2000000000000002</v>
      </c>
      <c r="S43" s="56" t="s">
        <v>39</v>
      </c>
      <c r="T43" s="56" t="s">
        <v>42</v>
      </c>
      <c r="U43" s="56">
        <v>486</v>
      </c>
      <c r="V43" s="56"/>
      <c r="W43" s="136">
        <v>89.7</v>
      </c>
      <c r="X43" s="56">
        <v>7.0000000000000007E-2</v>
      </c>
      <c r="Y43" s="56">
        <v>0.9</v>
      </c>
      <c r="Z43" s="56">
        <v>65.2</v>
      </c>
      <c r="AA43" s="56">
        <v>1.5</v>
      </c>
      <c r="AB43" s="56">
        <v>255</v>
      </c>
      <c r="AC43" s="56">
        <v>56.2</v>
      </c>
    </row>
    <row r="44" spans="1:29">
      <c r="A44" s="11">
        <v>2</v>
      </c>
      <c r="B44" s="12" t="s">
        <v>68</v>
      </c>
      <c r="C44" s="13">
        <v>4</v>
      </c>
      <c r="D44" s="60">
        <v>44880</v>
      </c>
      <c r="E44" s="52">
        <v>6.85</v>
      </c>
      <c r="F44" s="56">
        <v>2090</v>
      </c>
      <c r="G44" s="54">
        <v>11.3</v>
      </c>
      <c r="H44" s="55" t="s">
        <v>33</v>
      </c>
      <c r="I44" s="55">
        <v>13.1</v>
      </c>
      <c r="J44" s="56">
        <v>799</v>
      </c>
      <c r="K44" s="56" t="s">
        <v>34</v>
      </c>
      <c r="L44" s="56" t="s">
        <v>35</v>
      </c>
      <c r="M44" s="56" t="s">
        <v>35</v>
      </c>
      <c r="N44" s="63">
        <v>380</v>
      </c>
      <c r="O44" s="56" t="s">
        <v>35</v>
      </c>
      <c r="P44" s="56" t="s">
        <v>37</v>
      </c>
      <c r="Q44" s="56" t="s">
        <v>41</v>
      </c>
      <c r="R44" s="56">
        <v>1.6</v>
      </c>
      <c r="S44" s="56" t="s">
        <v>39</v>
      </c>
      <c r="T44" s="56" t="s">
        <v>42</v>
      </c>
      <c r="U44" s="56">
        <v>637</v>
      </c>
      <c r="V44" s="56"/>
      <c r="W44" s="136">
        <v>78</v>
      </c>
      <c r="X44" s="56">
        <v>19.399999999999999</v>
      </c>
      <c r="Y44" s="56">
        <v>4.1900000000000004</v>
      </c>
      <c r="Z44" s="56">
        <v>69.599999999999994</v>
      </c>
      <c r="AA44" s="56">
        <v>2.8</v>
      </c>
      <c r="AB44" s="56">
        <v>372</v>
      </c>
      <c r="AC44" s="56">
        <v>50.5</v>
      </c>
    </row>
    <row r="45" spans="1:29">
      <c r="A45" s="11">
        <v>2</v>
      </c>
      <c r="B45" s="12" t="s">
        <v>68</v>
      </c>
      <c r="C45" s="13">
        <v>4</v>
      </c>
      <c r="D45" s="60">
        <v>44704</v>
      </c>
      <c r="E45" s="52">
        <v>6.82</v>
      </c>
      <c r="F45" s="56">
        <v>2240</v>
      </c>
      <c r="G45" s="54">
        <v>14.1</v>
      </c>
      <c r="H45" s="55" t="s">
        <v>33</v>
      </c>
      <c r="I45" s="55">
        <v>13.4</v>
      </c>
      <c r="J45" s="56">
        <v>817</v>
      </c>
      <c r="K45" s="56" t="s">
        <v>34</v>
      </c>
      <c r="L45" s="56" t="s">
        <v>35</v>
      </c>
      <c r="M45" s="56" t="s">
        <v>35</v>
      </c>
      <c r="N45" s="63">
        <v>390</v>
      </c>
      <c r="O45" s="56">
        <v>3</v>
      </c>
      <c r="P45" s="56" t="s">
        <v>37</v>
      </c>
      <c r="Q45" s="56" t="s">
        <v>41</v>
      </c>
      <c r="R45" s="56">
        <v>0.97</v>
      </c>
      <c r="S45" s="56" t="s">
        <v>39</v>
      </c>
      <c r="T45" s="56" t="s">
        <v>42</v>
      </c>
      <c r="U45" s="56">
        <v>651</v>
      </c>
      <c r="V45" s="56"/>
      <c r="W45" s="136">
        <v>95.9</v>
      </c>
      <c r="X45" s="56">
        <v>22.1</v>
      </c>
      <c r="Y45" s="56">
        <v>4.5599999999999996</v>
      </c>
      <c r="Z45" s="56">
        <v>64.599999999999994</v>
      </c>
      <c r="AA45" s="56">
        <v>3.4</v>
      </c>
      <c r="AB45" s="56">
        <v>381</v>
      </c>
      <c r="AC45" s="56">
        <v>51.3</v>
      </c>
    </row>
    <row r="46" spans="1:29">
      <c r="A46" s="11">
        <v>2</v>
      </c>
      <c r="B46" s="12" t="s">
        <v>68</v>
      </c>
      <c r="C46" s="13">
        <v>4</v>
      </c>
      <c r="D46" s="60">
        <v>44249</v>
      </c>
      <c r="E46" s="52">
        <v>5.85</v>
      </c>
      <c r="F46" s="56">
        <v>3790</v>
      </c>
      <c r="G46" s="54">
        <v>250</v>
      </c>
      <c r="H46" s="55" t="s">
        <v>33</v>
      </c>
      <c r="I46" s="55">
        <v>8.6</v>
      </c>
      <c r="J46" s="56">
        <v>525</v>
      </c>
      <c r="K46" s="56" t="s">
        <v>34</v>
      </c>
      <c r="L46" s="56" t="s">
        <v>35</v>
      </c>
      <c r="M46" s="56" t="s">
        <v>36</v>
      </c>
      <c r="N46" s="63">
        <v>1140</v>
      </c>
      <c r="O46" s="56">
        <v>0.5</v>
      </c>
      <c r="P46" s="56">
        <v>0.15</v>
      </c>
      <c r="Q46" s="56" t="s">
        <v>38</v>
      </c>
      <c r="R46" s="56">
        <v>0.9</v>
      </c>
      <c r="S46" s="56">
        <v>0.01</v>
      </c>
      <c r="T46" s="56" t="s">
        <v>40</v>
      </c>
      <c r="U46" s="56">
        <v>1110</v>
      </c>
      <c r="V46" s="56"/>
      <c r="W46" s="136">
        <v>482</v>
      </c>
      <c r="X46" s="56">
        <v>32.4</v>
      </c>
      <c r="Y46" s="56">
        <v>5.72</v>
      </c>
      <c r="Z46" s="56">
        <v>70.7</v>
      </c>
      <c r="AA46" s="56">
        <v>6</v>
      </c>
      <c r="AB46" s="56">
        <v>654</v>
      </c>
      <c r="AC46" s="56">
        <v>83.2</v>
      </c>
    </row>
    <row r="47" spans="1:29">
      <c r="A47" s="11">
        <v>2</v>
      </c>
      <c r="B47" s="12" t="s">
        <v>68</v>
      </c>
      <c r="C47" s="13">
        <v>4</v>
      </c>
      <c r="D47" s="60">
        <v>44217</v>
      </c>
      <c r="E47" s="52">
        <v>4.57</v>
      </c>
      <c r="F47" s="56">
        <v>4260</v>
      </c>
      <c r="G47" s="54">
        <v>170</v>
      </c>
      <c r="H47" s="55" t="s">
        <v>33</v>
      </c>
      <c r="I47" s="55" t="s">
        <v>33</v>
      </c>
      <c r="J47" s="56" t="s">
        <v>34</v>
      </c>
      <c r="K47" s="56" t="s">
        <v>34</v>
      </c>
      <c r="L47" s="56" t="s">
        <v>35</v>
      </c>
      <c r="M47" s="56" t="s">
        <v>35</v>
      </c>
      <c r="N47" s="63">
        <v>1210</v>
      </c>
      <c r="O47" s="56" t="s">
        <v>35</v>
      </c>
      <c r="P47" s="56">
        <v>0.46</v>
      </c>
      <c r="Q47" s="56" t="s">
        <v>41</v>
      </c>
      <c r="R47" s="56">
        <v>2.6</v>
      </c>
      <c r="S47" s="56" t="s">
        <v>39</v>
      </c>
      <c r="T47" s="56" t="s">
        <v>42</v>
      </c>
      <c r="U47" s="56">
        <v>1170</v>
      </c>
      <c r="V47" s="56"/>
      <c r="W47" s="136">
        <v>331</v>
      </c>
      <c r="X47" s="56">
        <v>35.6</v>
      </c>
      <c r="Y47" s="56">
        <v>6.26</v>
      </c>
      <c r="Z47" s="56">
        <v>69.599999999999994</v>
      </c>
      <c r="AA47" s="56">
        <v>6.2</v>
      </c>
      <c r="AB47" s="56">
        <v>689</v>
      </c>
      <c r="AC47" s="56">
        <v>88.3</v>
      </c>
    </row>
    <row r="48" spans="1:29">
      <c r="A48" s="11">
        <v>2</v>
      </c>
      <c r="B48" s="12" t="s">
        <v>68</v>
      </c>
      <c r="C48" s="13">
        <v>4</v>
      </c>
      <c r="D48" s="60">
        <v>44186</v>
      </c>
      <c r="E48" s="52">
        <v>6.1</v>
      </c>
      <c r="F48" s="56">
        <v>4640</v>
      </c>
      <c r="G48" s="54">
        <v>270</v>
      </c>
      <c r="H48" s="55" t="s">
        <v>33</v>
      </c>
      <c r="I48" s="55">
        <v>9</v>
      </c>
      <c r="J48" s="56">
        <v>549</v>
      </c>
      <c r="K48" s="56" t="s">
        <v>34</v>
      </c>
      <c r="L48" s="53" t="s">
        <v>35</v>
      </c>
      <c r="M48" s="56" t="s">
        <v>35</v>
      </c>
      <c r="N48" s="63">
        <v>1300</v>
      </c>
      <c r="O48" s="56" t="s">
        <v>35</v>
      </c>
      <c r="P48" s="56" t="s">
        <v>37</v>
      </c>
      <c r="Q48" s="56" t="s">
        <v>41</v>
      </c>
      <c r="R48" s="56">
        <v>2.2999999999999998</v>
      </c>
      <c r="S48" s="56">
        <v>0.02</v>
      </c>
      <c r="T48" s="56" t="s">
        <v>42</v>
      </c>
      <c r="U48" s="56">
        <v>1300</v>
      </c>
      <c r="V48" s="87"/>
      <c r="W48" s="136">
        <v>1450</v>
      </c>
      <c r="X48" s="53">
        <v>34.299999999999997</v>
      </c>
      <c r="Y48" s="53">
        <v>6.77</v>
      </c>
      <c r="Z48" s="53">
        <v>68.900000000000006</v>
      </c>
      <c r="AA48" s="53">
        <v>7.7</v>
      </c>
      <c r="AB48" s="53">
        <v>788</v>
      </c>
      <c r="AC48" s="53">
        <v>87.4</v>
      </c>
    </row>
    <row r="49" spans="1:29" ht="15" thickBot="1">
      <c r="A49" s="24">
        <v>2</v>
      </c>
      <c r="B49" s="25" t="s">
        <v>68</v>
      </c>
      <c r="C49" s="26">
        <v>4</v>
      </c>
      <c r="D49" s="142">
        <v>44160</v>
      </c>
      <c r="E49" s="144">
        <v>7.12</v>
      </c>
      <c r="F49" s="145">
        <v>4140</v>
      </c>
      <c r="G49" s="190">
        <v>4.8</v>
      </c>
      <c r="H49" s="191" t="s">
        <v>33</v>
      </c>
      <c r="I49" s="191">
        <v>8.1</v>
      </c>
      <c r="J49" s="145">
        <v>494</v>
      </c>
      <c r="K49" s="145" t="s">
        <v>34</v>
      </c>
      <c r="L49" s="192" t="s">
        <v>35</v>
      </c>
      <c r="M49" s="145" t="s">
        <v>36</v>
      </c>
      <c r="N49" s="147">
        <v>1450</v>
      </c>
      <c r="O49" s="145" t="s">
        <v>36</v>
      </c>
      <c r="P49" s="145" t="s">
        <v>37</v>
      </c>
      <c r="Q49" s="145" t="s">
        <v>38</v>
      </c>
      <c r="R49" s="145">
        <v>5.9</v>
      </c>
      <c r="S49" s="145">
        <v>0.01</v>
      </c>
      <c r="T49" s="145" t="s">
        <v>40</v>
      </c>
      <c r="U49" s="145">
        <v>1160</v>
      </c>
      <c r="V49" s="107"/>
      <c r="W49" s="148">
        <v>0.4</v>
      </c>
      <c r="X49" s="192">
        <v>11.7</v>
      </c>
      <c r="Y49" s="192">
        <v>4.8600000000000003</v>
      </c>
      <c r="Z49" s="192">
        <v>113</v>
      </c>
      <c r="AA49" s="192">
        <v>5.3</v>
      </c>
      <c r="AB49" s="192">
        <v>686</v>
      </c>
      <c r="AC49" s="192">
        <v>88.3</v>
      </c>
    </row>
    <row r="50" spans="1:29">
      <c r="A50" s="7">
        <v>3</v>
      </c>
      <c r="B50" s="8" t="s">
        <v>68</v>
      </c>
      <c r="C50" s="9">
        <v>5</v>
      </c>
      <c r="D50" s="131">
        <v>45980</v>
      </c>
      <c r="E50" s="44">
        <v>6.55</v>
      </c>
      <c r="F50" s="48">
        <v>3960</v>
      </c>
      <c r="G50" s="46">
        <v>660</v>
      </c>
      <c r="H50" s="47" t="s">
        <v>33</v>
      </c>
      <c r="I50" s="47">
        <v>15.5</v>
      </c>
      <c r="J50" s="48">
        <v>946</v>
      </c>
      <c r="K50" s="48" t="s">
        <v>34</v>
      </c>
      <c r="L50" s="48" t="s">
        <v>35</v>
      </c>
      <c r="M50" s="48" t="s">
        <v>36</v>
      </c>
      <c r="N50" s="132">
        <v>913</v>
      </c>
      <c r="O50" s="48">
        <v>1.1000000000000001</v>
      </c>
      <c r="P50" s="48" t="s">
        <v>37</v>
      </c>
      <c r="Q50" s="48" t="s">
        <v>38</v>
      </c>
      <c r="R50" s="48">
        <v>8.6</v>
      </c>
      <c r="S50" s="48">
        <v>0.03</v>
      </c>
      <c r="T50" s="48" t="s">
        <v>40</v>
      </c>
      <c r="U50" s="48">
        <v>999</v>
      </c>
      <c r="V50" s="48"/>
      <c r="W50" s="133" t="s">
        <v>42</v>
      </c>
      <c r="X50" s="48">
        <v>51.6</v>
      </c>
      <c r="Y50" s="48">
        <v>9.52</v>
      </c>
      <c r="Z50" s="48">
        <v>94.3</v>
      </c>
      <c r="AA50" s="48">
        <v>8.3000000000000007</v>
      </c>
      <c r="AB50" s="48">
        <v>585</v>
      </c>
      <c r="AC50" s="48">
        <v>78.099999999999994</v>
      </c>
    </row>
    <row r="51" spans="1:29">
      <c r="A51" s="11">
        <v>3</v>
      </c>
      <c r="B51" s="12" t="s">
        <v>68</v>
      </c>
      <c r="C51" s="13">
        <v>5</v>
      </c>
      <c r="D51" s="60">
        <v>45782</v>
      </c>
      <c r="E51" s="52">
        <v>7.07</v>
      </c>
      <c r="F51" s="56">
        <v>3360</v>
      </c>
      <c r="G51" s="54">
        <v>6.8</v>
      </c>
      <c r="H51" s="55" t="s">
        <v>33</v>
      </c>
      <c r="I51" s="55">
        <v>12.2</v>
      </c>
      <c r="J51" s="56">
        <v>744</v>
      </c>
      <c r="K51" s="56" t="s">
        <v>34</v>
      </c>
      <c r="L51" s="56" t="s">
        <v>35</v>
      </c>
      <c r="M51" s="56" t="s">
        <v>36</v>
      </c>
      <c r="N51" s="63">
        <v>957</v>
      </c>
      <c r="O51" s="56">
        <v>1.4</v>
      </c>
      <c r="P51" s="56" t="s">
        <v>37</v>
      </c>
      <c r="Q51" s="56" t="s">
        <v>38</v>
      </c>
      <c r="R51" s="56">
        <v>4.8</v>
      </c>
      <c r="S51" s="56" t="s">
        <v>39</v>
      </c>
      <c r="T51" s="56" t="s">
        <v>40</v>
      </c>
      <c r="U51" s="56">
        <v>933</v>
      </c>
      <c r="V51" s="56"/>
      <c r="W51" s="136" t="s">
        <v>42</v>
      </c>
      <c r="X51" s="56">
        <v>30.2</v>
      </c>
      <c r="Y51" s="56">
        <v>7.71</v>
      </c>
      <c r="Z51" s="56">
        <v>93.5</v>
      </c>
      <c r="AA51" s="56">
        <v>3</v>
      </c>
      <c r="AB51" s="56">
        <v>541</v>
      </c>
      <c r="AC51" s="56">
        <v>76.099999999999994</v>
      </c>
    </row>
    <row r="52" spans="1:29">
      <c r="A52" s="11">
        <v>3</v>
      </c>
      <c r="B52" s="12" t="s">
        <v>68</v>
      </c>
      <c r="C52" s="13">
        <v>5</v>
      </c>
      <c r="D52" s="60">
        <v>45706</v>
      </c>
      <c r="E52" s="52"/>
      <c r="F52" s="56"/>
      <c r="G52" s="54"/>
      <c r="H52" s="55"/>
      <c r="I52" s="55"/>
      <c r="J52" s="56"/>
      <c r="K52" s="56"/>
      <c r="L52" s="56"/>
      <c r="M52" s="56"/>
      <c r="N52" s="63">
        <v>810</v>
      </c>
      <c r="O52" s="56"/>
      <c r="P52" s="56"/>
      <c r="Q52" s="56"/>
      <c r="R52" s="56"/>
      <c r="S52" s="56"/>
      <c r="T52" s="56"/>
      <c r="U52" s="56"/>
      <c r="V52" s="56"/>
      <c r="W52" s="136" t="s">
        <v>42</v>
      </c>
      <c r="X52" s="56"/>
      <c r="Y52" s="56"/>
      <c r="Z52" s="56"/>
      <c r="AA52" s="56"/>
      <c r="AB52" s="56"/>
      <c r="AC52" s="56"/>
    </row>
    <row r="53" spans="1:29">
      <c r="A53" s="11">
        <v>3</v>
      </c>
      <c r="B53" s="12" t="s">
        <v>68</v>
      </c>
      <c r="C53" s="13">
        <v>5</v>
      </c>
      <c r="D53" s="60">
        <v>45567</v>
      </c>
      <c r="E53" s="52">
        <v>6.7</v>
      </c>
      <c r="F53" s="56">
        <v>3020</v>
      </c>
      <c r="G53" s="54">
        <v>7.2</v>
      </c>
      <c r="H53" s="55" t="s">
        <v>33</v>
      </c>
      <c r="I53" s="55">
        <v>14.1</v>
      </c>
      <c r="J53" s="56">
        <v>860</v>
      </c>
      <c r="K53" s="56" t="s">
        <v>34</v>
      </c>
      <c r="L53" s="56" t="s">
        <v>35</v>
      </c>
      <c r="M53" s="56" t="s">
        <v>36</v>
      </c>
      <c r="N53" s="63">
        <v>681</v>
      </c>
      <c r="O53" s="56">
        <v>1.7</v>
      </c>
      <c r="P53" s="56" t="s">
        <v>37</v>
      </c>
      <c r="Q53" s="56" t="s">
        <v>38</v>
      </c>
      <c r="R53" s="56">
        <v>4</v>
      </c>
      <c r="S53" s="56" t="s">
        <v>39</v>
      </c>
      <c r="T53" s="56" t="s">
        <v>40</v>
      </c>
      <c r="U53" s="56">
        <v>786</v>
      </c>
      <c r="V53" s="56"/>
      <c r="W53" s="136" t="s">
        <v>42</v>
      </c>
      <c r="X53" s="56">
        <v>16.3</v>
      </c>
      <c r="Y53" s="56">
        <v>6.28</v>
      </c>
      <c r="Z53" s="56">
        <v>82.6</v>
      </c>
      <c r="AA53" s="56">
        <v>2.8</v>
      </c>
      <c r="AB53" s="56">
        <v>455</v>
      </c>
      <c r="AC53" s="56">
        <v>64.900000000000006</v>
      </c>
    </row>
    <row r="54" spans="1:29">
      <c r="A54" s="11">
        <v>3</v>
      </c>
      <c r="B54" s="12" t="s">
        <v>68</v>
      </c>
      <c r="C54" s="13">
        <v>5</v>
      </c>
      <c r="D54" s="60">
        <v>45426</v>
      </c>
      <c r="E54" s="52">
        <v>7.29</v>
      </c>
      <c r="F54" s="56">
        <v>2420</v>
      </c>
      <c r="G54" s="54">
        <v>19</v>
      </c>
      <c r="H54" s="55" t="s">
        <v>33</v>
      </c>
      <c r="I54" s="55">
        <v>15.2</v>
      </c>
      <c r="J54" s="56">
        <v>927</v>
      </c>
      <c r="K54" s="56" t="s">
        <v>34</v>
      </c>
      <c r="L54" s="56" t="s">
        <v>35</v>
      </c>
      <c r="M54" s="56" t="s">
        <v>36</v>
      </c>
      <c r="N54" s="63">
        <v>418</v>
      </c>
      <c r="O54" s="56">
        <v>1.6</v>
      </c>
      <c r="P54" s="56">
        <v>0.09</v>
      </c>
      <c r="Q54" s="56" t="s">
        <v>38</v>
      </c>
      <c r="R54" s="56">
        <v>5</v>
      </c>
      <c r="S54" s="56">
        <v>0.02</v>
      </c>
      <c r="T54" s="56" t="s">
        <v>40</v>
      </c>
      <c r="U54" s="56">
        <v>687</v>
      </c>
      <c r="V54" s="56"/>
      <c r="W54" s="136">
        <v>50.6</v>
      </c>
      <c r="X54" s="56">
        <v>11.7</v>
      </c>
      <c r="Y54" s="56">
        <v>5.15</v>
      </c>
      <c r="Z54" s="56">
        <v>77.099999999999994</v>
      </c>
      <c r="AA54" s="56">
        <v>2.8</v>
      </c>
      <c r="AB54" s="56">
        <v>398</v>
      </c>
      <c r="AC54" s="56">
        <v>56.3</v>
      </c>
    </row>
    <row r="55" spans="1:29">
      <c r="A55" s="11">
        <v>3</v>
      </c>
      <c r="B55" s="12" t="s">
        <v>68</v>
      </c>
      <c r="C55" s="13">
        <v>5</v>
      </c>
      <c r="D55" s="60">
        <v>45357</v>
      </c>
      <c r="E55" s="52">
        <v>6.93</v>
      </c>
      <c r="F55" s="56">
        <v>2400</v>
      </c>
      <c r="G55" s="54">
        <v>10.6</v>
      </c>
      <c r="H55" s="55" t="s">
        <v>33</v>
      </c>
      <c r="I55" s="55">
        <v>15.7</v>
      </c>
      <c r="J55" s="56">
        <v>958</v>
      </c>
      <c r="K55" s="56" t="s">
        <v>34</v>
      </c>
      <c r="L55" s="56" t="s">
        <v>35</v>
      </c>
      <c r="M55" s="56" t="s">
        <v>36</v>
      </c>
      <c r="N55" s="63">
        <v>419</v>
      </c>
      <c r="O55" s="56">
        <v>1.5</v>
      </c>
      <c r="P55" s="56" t="s">
        <v>37</v>
      </c>
      <c r="Q55" s="56" t="s">
        <v>38</v>
      </c>
      <c r="R55" s="56">
        <v>5</v>
      </c>
      <c r="S55" s="56" t="s">
        <v>39</v>
      </c>
      <c r="T55" s="56" t="s">
        <v>40</v>
      </c>
      <c r="U55" s="56">
        <v>663</v>
      </c>
      <c r="V55" s="56"/>
      <c r="W55" s="136">
        <v>35.1</v>
      </c>
      <c r="X55" s="56">
        <v>10.4</v>
      </c>
      <c r="Y55" s="56">
        <v>4.8</v>
      </c>
      <c r="Z55" s="56">
        <v>76.400000000000006</v>
      </c>
      <c r="AA55" s="56">
        <v>2.6</v>
      </c>
      <c r="AB55" s="56">
        <v>385</v>
      </c>
      <c r="AC55" s="56">
        <v>54</v>
      </c>
    </row>
    <row r="56" spans="1:29">
      <c r="A56" s="11">
        <v>3</v>
      </c>
      <c r="B56" s="12" t="s">
        <v>68</v>
      </c>
      <c r="C56" s="13">
        <v>5</v>
      </c>
      <c r="D56" s="60">
        <v>45335</v>
      </c>
      <c r="E56" s="52">
        <v>6.8</v>
      </c>
      <c r="F56" s="56">
        <v>2400</v>
      </c>
      <c r="G56" s="54">
        <v>10</v>
      </c>
      <c r="H56" s="55" t="s">
        <v>33</v>
      </c>
      <c r="I56" s="55">
        <v>15.5</v>
      </c>
      <c r="J56" s="56">
        <v>946</v>
      </c>
      <c r="K56" s="56" t="s">
        <v>34</v>
      </c>
      <c r="L56" s="56" t="s">
        <v>35</v>
      </c>
      <c r="M56" s="56" t="s">
        <v>36</v>
      </c>
      <c r="N56" s="63">
        <v>433</v>
      </c>
      <c r="O56" s="56">
        <v>1.6</v>
      </c>
      <c r="P56" s="56" t="s">
        <v>37</v>
      </c>
      <c r="Q56" s="56" t="s">
        <v>38</v>
      </c>
      <c r="R56" s="56">
        <v>6.9</v>
      </c>
      <c r="S56" s="56" t="s">
        <v>39</v>
      </c>
      <c r="T56" s="56" t="s">
        <v>40</v>
      </c>
      <c r="U56" s="56">
        <v>677</v>
      </c>
      <c r="V56" s="56"/>
      <c r="W56" s="136">
        <v>57.5</v>
      </c>
      <c r="X56" s="56">
        <v>10.4</v>
      </c>
      <c r="Y56" s="56">
        <v>4.88</v>
      </c>
      <c r="Z56" s="56">
        <v>75.7</v>
      </c>
      <c r="AA56" s="56">
        <v>2.9</v>
      </c>
      <c r="AB56" s="56">
        <v>394</v>
      </c>
      <c r="AC56" s="56">
        <v>54.5</v>
      </c>
    </row>
    <row r="57" spans="1:29" ht="15" thickBot="1">
      <c r="A57" s="15">
        <v>3</v>
      </c>
      <c r="B57" s="16" t="s">
        <v>68</v>
      </c>
      <c r="C57" s="17">
        <v>5</v>
      </c>
      <c r="D57" s="157">
        <v>44285</v>
      </c>
      <c r="E57" s="111">
        <v>6.91</v>
      </c>
      <c r="F57" s="115">
        <v>4750</v>
      </c>
      <c r="G57" s="113">
        <v>3.3</v>
      </c>
      <c r="H57" s="114" t="s">
        <v>33</v>
      </c>
      <c r="I57" s="114">
        <v>7.8</v>
      </c>
      <c r="J57" s="115">
        <v>476</v>
      </c>
      <c r="K57" s="115" t="s">
        <v>34</v>
      </c>
      <c r="L57" s="115" t="s">
        <v>35</v>
      </c>
      <c r="M57" s="115" t="s">
        <v>36</v>
      </c>
      <c r="N57" s="116">
        <v>1280</v>
      </c>
      <c r="O57" s="115" t="s">
        <v>36</v>
      </c>
      <c r="P57" s="115" t="s">
        <v>37</v>
      </c>
      <c r="Q57" s="115">
        <v>40</v>
      </c>
      <c r="R57" s="115">
        <v>5.03</v>
      </c>
      <c r="S57" s="115" t="s">
        <v>39</v>
      </c>
      <c r="T57" s="115" t="s">
        <v>40</v>
      </c>
      <c r="U57" s="115">
        <v>1090</v>
      </c>
      <c r="V57" s="115"/>
      <c r="W57" s="160">
        <v>8.1</v>
      </c>
      <c r="X57" s="115">
        <v>23.8</v>
      </c>
      <c r="Y57" s="115">
        <v>9.68</v>
      </c>
      <c r="Z57" s="115">
        <v>133</v>
      </c>
      <c r="AA57" s="115">
        <v>3.1</v>
      </c>
      <c r="AB57" s="115">
        <v>642</v>
      </c>
      <c r="AC57" s="115">
        <v>82.3</v>
      </c>
    </row>
    <row r="58" spans="1:29" ht="15" thickBot="1">
      <c r="A58" s="232"/>
      <c r="B58" s="233"/>
      <c r="C58" s="234"/>
      <c r="D58" s="174"/>
      <c r="E58" s="223"/>
      <c r="F58" s="224"/>
      <c r="G58" s="225"/>
      <c r="H58" s="226"/>
      <c r="I58" s="224"/>
      <c r="J58" s="224"/>
      <c r="K58" s="227"/>
      <c r="L58" s="224"/>
      <c r="M58" s="224"/>
      <c r="N58" s="228"/>
      <c r="O58" s="224"/>
      <c r="P58" s="224"/>
      <c r="Q58" s="224"/>
      <c r="R58" s="224"/>
      <c r="S58" s="224"/>
      <c r="T58" s="224"/>
      <c r="U58" s="224"/>
      <c r="V58" s="229"/>
      <c r="W58" s="230"/>
      <c r="X58" s="227"/>
      <c r="Y58" s="227"/>
      <c r="Z58" s="227"/>
      <c r="AA58" s="227"/>
      <c r="AB58" s="227"/>
      <c r="AC58" s="2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6864-8E77-4C76-8F9A-524037EF874C}">
  <dimension ref="A1:AD80"/>
  <sheetViews>
    <sheetView workbookViewId="0">
      <selection activeCell="F2" sqref="F2"/>
    </sheetView>
  </sheetViews>
  <sheetFormatPr defaultRowHeight="14.4"/>
  <cols>
    <col min="3" max="3" width="19.5546875" customWidth="1"/>
    <col min="4" max="4" width="13.109375" customWidth="1"/>
  </cols>
  <sheetData>
    <row r="1" spans="1:30" ht="90.6" customHeight="1" thickBot="1">
      <c r="A1" s="1" t="s">
        <v>0</v>
      </c>
      <c r="B1" s="218" t="s">
        <v>63</v>
      </c>
      <c r="C1" s="99" t="s">
        <v>62</v>
      </c>
      <c r="D1" s="123" t="s">
        <v>1</v>
      </c>
      <c r="E1" s="124" t="s">
        <v>4</v>
      </c>
      <c r="F1" s="124" t="s">
        <v>69</v>
      </c>
      <c r="G1" s="125" t="s">
        <v>5</v>
      </c>
      <c r="H1" s="124" t="s">
        <v>6</v>
      </c>
      <c r="I1" s="124" t="s">
        <v>7</v>
      </c>
      <c r="J1" s="124" t="s">
        <v>8</v>
      </c>
      <c r="K1" s="124" t="s">
        <v>9</v>
      </c>
      <c r="L1" s="124" t="s">
        <v>10</v>
      </c>
      <c r="M1" s="124" t="s">
        <v>11</v>
      </c>
      <c r="N1" s="126" t="s">
        <v>12</v>
      </c>
      <c r="O1" s="124" t="s">
        <v>13</v>
      </c>
      <c r="P1" s="124" t="s">
        <v>14</v>
      </c>
      <c r="Q1" s="124" t="s">
        <v>15</v>
      </c>
      <c r="R1" s="124" t="s">
        <v>16</v>
      </c>
      <c r="S1" s="124" t="s">
        <v>17</v>
      </c>
      <c r="T1" s="124" t="s">
        <v>18</v>
      </c>
      <c r="U1" s="124" t="s">
        <v>19</v>
      </c>
      <c r="V1" s="124" t="s">
        <v>20</v>
      </c>
      <c r="W1" s="127" t="s">
        <v>21</v>
      </c>
      <c r="X1" s="124" t="s">
        <v>22</v>
      </c>
      <c r="Y1" s="124" t="s">
        <v>23</v>
      </c>
      <c r="Z1" s="124" t="s">
        <v>24</v>
      </c>
      <c r="AA1" s="124" t="s">
        <v>25</v>
      </c>
      <c r="AB1" s="124" t="s">
        <v>26</v>
      </c>
      <c r="AC1" s="124" t="s">
        <v>27</v>
      </c>
      <c r="AD1" s="128" t="s">
        <v>59</v>
      </c>
    </row>
    <row r="2" spans="1:30" ht="15.6" thickBot="1">
      <c r="A2" s="3"/>
      <c r="B2" s="4"/>
      <c r="C2" s="5"/>
      <c r="D2" s="6"/>
      <c r="E2" s="39"/>
      <c r="F2" s="40" t="s">
        <v>28</v>
      </c>
      <c r="G2" s="41" t="s">
        <v>29</v>
      </c>
      <c r="H2" s="39" t="s">
        <v>30</v>
      </c>
      <c r="I2" s="39" t="s">
        <v>30</v>
      </c>
      <c r="J2" s="39" t="s">
        <v>31</v>
      </c>
      <c r="K2" s="39" t="s">
        <v>31</v>
      </c>
      <c r="L2" s="39" t="s">
        <v>31</v>
      </c>
      <c r="M2" s="39" t="s">
        <v>31</v>
      </c>
      <c r="N2" s="42" t="s">
        <v>31</v>
      </c>
      <c r="O2" s="39" t="s">
        <v>31</v>
      </c>
      <c r="P2" s="39" t="s">
        <v>31</v>
      </c>
      <c r="Q2" s="39" t="s">
        <v>31</v>
      </c>
      <c r="R2" s="39" t="s">
        <v>31</v>
      </c>
      <c r="S2" s="39" t="s">
        <v>31</v>
      </c>
      <c r="T2" s="39" t="s">
        <v>31</v>
      </c>
      <c r="U2" s="39" t="s">
        <v>32</v>
      </c>
      <c r="V2" s="39" t="s">
        <v>31</v>
      </c>
      <c r="W2" s="43" t="s">
        <v>31</v>
      </c>
      <c r="X2" s="39" t="s">
        <v>31</v>
      </c>
      <c r="Y2" s="39" t="s">
        <v>31</v>
      </c>
      <c r="Z2" s="39" t="s">
        <v>31</v>
      </c>
      <c r="AA2" s="39" t="s">
        <v>31</v>
      </c>
      <c r="AB2" s="39" t="s">
        <v>31</v>
      </c>
      <c r="AC2" s="39" t="s">
        <v>31</v>
      </c>
    </row>
    <row r="3" spans="1:30">
      <c r="A3" s="129">
        <v>2</v>
      </c>
      <c r="B3" s="8" t="s">
        <v>60</v>
      </c>
      <c r="C3" s="130">
        <v>2</v>
      </c>
      <c r="D3" s="131">
        <v>46085</v>
      </c>
      <c r="E3" s="8"/>
      <c r="F3" s="8"/>
      <c r="G3" s="237"/>
      <c r="H3" s="8"/>
      <c r="I3" s="8"/>
      <c r="J3" s="8"/>
      <c r="K3" s="8"/>
      <c r="L3" s="8"/>
      <c r="M3" s="8"/>
      <c r="N3" s="132">
        <v>536</v>
      </c>
      <c r="O3" s="8"/>
      <c r="P3" s="8"/>
      <c r="Q3" s="8"/>
      <c r="R3" s="8"/>
      <c r="S3" s="8"/>
      <c r="T3" s="8"/>
      <c r="U3" s="8"/>
      <c r="V3" s="8"/>
      <c r="W3" s="238"/>
      <c r="X3" s="8"/>
      <c r="Y3" s="8"/>
      <c r="Z3" s="8"/>
      <c r="AA3" s="8"/>
      <c r="AB3" s="8"/>
      <c r="AC3" s="8"/>
      <c r="AD3" s="134"/>
    </row>
    <row r="4" spans="1:30">
      <c r="A4" s="135">
        <v>2</v>
      </c>
      <c r="B4" s="12" t="s">
        <v>60</v>
      </c>
      <c r="C4" s="99">
        <v>2</v>
      </c>
      <c r="D4" s="60">
        <v>45971</v>
      </c>
      <c r="E4" s="52">
        <v>6.95</v>
      </c>
      <c r="F4" s="52">
        <v>2150</v>
      </c>
      <c r="G4" s="84">
        <v>40</v>
      </c>
      <c r="H4" s="55" t="s">
        <v>33</v>
      </c>
      <c r="I4" s="55">
        <v>7.9</v>
      </c>
      <c r="J4" s="55">
        <v>482</v>
      </c>
      <c r="K4" s="56" t="s">
        <v>34</v>
      </c>
      <c r="L4" s="56" t="s">
        <v>35</v>
      </c>
      <c r="M4" s="56" t="s">
        <v>35</v>
      </c>
      <c r="N4" s="63">
        <v>470</v>
      </c>
      <c r="O4" s="56" t="s">
        <v>35</v>
      </c>
      <c r="P4" s="56" t="s">
        <v>48</v>
      </c>
      <c r="Q4" s="56">
        <v>100</v>
      </c>
      <c r="R4" s="56">
        <v>5.5</v>
      </c>
      <c r="S4" s="56">
        <v>0.11</v>
      </c>
      <c r="T4" s="56" t="s">
        <v>42</v>
      </c>
      <c r="U4" s="56">
        <v>605</v>
      </c>
      <c r="V4" s="56" t="s">
        <v>42</v>
      </c>
      <c r="W4" s="136">
        <v>30.9</v>
      </c>
      <c r="X4" s="56">
        <v>8.25</v>
      </c>
      <c r="Y4" s="56">
        <v>51.5</v>
      </c>
      <c r="Z4" s="56">
        <v>2.6</v>
      </c>
      <c r="AA4" s="56">
        <v>363</v>
      </c>
      <c r="AB4" s="56">
        <v>42.1</v>
      </c>
      <c r="AC4" s="56"/>
      <c r="AD4" s="137"/>
    </row>
    <row r="5" spans="1:30">
      <c r="A5" s="135">
        <v>2</v>
      </c>
      <c r="B5" s="12" t="s">
        <v>60</v>
      </c>
      <c r="C5" s="99">
        <v>2</v>
      </c>
      <c r="D5" s="60">
        <v>45783</v>
      </c>
      <c r="E5" s="52">
        <v>6.84</v>
      </c>
      <c r="F5" s="56">
        <v>2060</v>
      </c>
      <c r="G5" s="54">
        <v>6.1</v>
      </c>
      <c r="H5" s="55" t="s">
        <v>33</v>
      </c>
      <c r="I5" s="55">
        <v>8.5</v>
      </c>
      <c r="J5" s="56">
        <v>519</v>
      </c>
      <c r="K5" s="56" t="s">
        <v>34</v>
      </c>
      <c r="L5" s="56" t="s">
        <v>35</v>
      </c>
      <c r="M5" s="56" t="s">
        <v>35</v>
      </c>
      <c r="N5" s="63">
        <v>410</v>
      </c>
      <c r="O5" s="56" t="s">
        <v>35</v>
      </c>
      <c r="P5" s="56" t="s">
        <v>37</v>
      </c>
      <c r="Q5" s="56" t="s">
        <v>41</v>
      </c>
      <c r="R5" s="56">
        <v>5.2</v>
      </c>
      <c r="S5" s="56" t="s">
        <v>39</v>
      </c>
      <c r="T5" s="56" t="s">
        <v>42</v>
      </c>
      <c r="U5" s="56">
        <v>577</v>
      </c>
      <c r="V5" s="56"/>
      <c r="W5" s="239" t="s">
        <v>42</v>
      </c>
      <c r="X5" s="56">
        <v>29.3</v>
      </c>
      <c r="Y5" s="56">
        <v>7.87</v>
      </c>
      <c r="Z5" s="56">
        <v>49</v>
      </c>
      <c r="AA5" s="56">
        <v>3.5</v>
      </c>
      <c r="AB5" s="56">
        <v>344</v>
      </c>
      <c r="AC5" s="56">
        <v>41.3</v>
      </c>
      <c r="AD5" s="137"/>
    </row>
    <row r="6" spans="1:30">
      <c r="A6" s="135">
        <v>2</v>
      </c>
      <c r="B6" s="12" t="s">
        <v>60</v>
      </c>
      <c r="C6" s="99">
        <v>2</v>
      </c>
      <c r="D6" s="60">
        <v>45699</v>
      </c>
      <c r="E6" s="12"/>
      <c r="F6" s="12"/>
      <c r="G6" s="240"/>
      <c r="H6" s="12"/>
      <c r="I6" s="12"/>
      <c r="J6" s="12"/>
      <c r="K6" s="12"/>
      <c r="L6" s="12"/>
      <c r="M6" s="12"/>
      <c r="N6" s="63">
        <v>380</v>
      </c>
      <c r="O6" s="12"/>
      <c r="P6" s="12"/>
      <c r="Q6" s="12"/>
      <c r="R6" s="12"/>
      <c r="S6" s="12"/>
      <c r="T6" s="12"/>
      <c r="U6" s="12"/>
      <c r="V6" s="12"/>
      <c r="W6" s="239"/>
      <c r="X6" s="12"/>
      <c r="Y6" s="12"/>
      <c r="Z6" s="12"/>
      <c r="AA6" s="12"/>
      <c r="AB6" s="12"/>
      <c r="AC6" s="12"/>
      <c r="AD6" s="137"/>
    </row>
    <row r="7" spans="1:30">
      <c r="A7" s="135">
        <v>2</v>
      </c>
      <c r="B7" s="12" t="s">
        <v>60</v>
      </c>
      <c r="C7" s="99">
        <v>2</v>
      </c>
      <c r="D7" s="60">
        <v>45567</v>
      </c>
      <c r="E7" s="52">
        <v>6.85</v>
      </c>
      <c r="F7" s="56">
        <v>3430</v>
      </c>
      <c r="G7" s="54">
        <v>2.5</v>
      </c>
      <c r="H7" s="55" t="s">
        <v>33</v>
      </c>
      <c r="I7" s="55">
        <v>23.4</v>
      </c>
      <c r="J7" s="56">
        <v>1430</v>
      </c>
      <c r="K7" s="56" t="s">
        <v>34</v>
      </c>
      <c r="L7" s="56" t="s">
        <v>35</v>
      </c>
      <c r="M7" s="56" t="s">
        <v>36</v>
      </c>
      <c r="N7" s="63">
        <v>431</v>
      </c>
      <c r="O7" s="56" t="s">
        <v>36</v>
      </c>
      <c r="P7" s="56" t="s">
        <v>37</v>
      </c>
      <c r="Q7" s="56" t="s">
        <v>38</v>
      </c>
      <c r="R7" s="56">
        <v>4</v>
      </c>
      <c r="S7" s="56" t="s">
        <v>39</v>
      </c>
      <c r="T7" s="56" t="s">
        <v>40</v>
      </c>
      <c r="U7" s="56">
        <v>937</v>
      </c>
      <c r="V7" s="56"/>
      <c r="W7" s="136" t="s">
        <v>42</v>
      </c>
      <c r="X7" s="56">
        <v>27.7</v>
      </c>
      <c r="Y7" s="56">
        <v>7.69</v>
      </c>
      <c r="Z7" s="56">
        <v>44.1</v>
      </c>
      <c r="AA7" s="56">
        <v>2.6</v>
      </c>
      <c r="AB7" s="56">
        <v>335</v>
      </c>
      <c r="AC7" s="56">
        <v>40.799999999999997</v>
      </c>
      <c r="AD7" s="137"/>
    </row>
    <row r="8" spans="1:30">
      <c r="A8" s="135">
        <v>2</v>
      </c>
      <c r="B8" s="12" t="s">
        <v>60</v>
      </c>
      <c r="C8" s="99">
        <v>2</v>
      </c>
      <c r="D8" s="60">
        <v>45482</v>
      </c>
      <c r="E8" s="52">
        <v>6.49</v>
      </c>
      <c r="F8" s="56">
        <v>2110</v>
      </c>
      <c r="G8" s="54">
        <v>9.6999999999999993</v>
      </c>
      <c r="H8" s="55" t="s">
        <v>33</v>
      </c>
      <c r="I8" s="55">
        <v>8.6999999999999993</v>
      </c>
      <c r="J8" s="56">
        <v>531</v>
      </c>
      <c r="K8" s="56" t="s">
        <v>34</v>
      </c>
      <c r="L8" s="56" t="s">
        <v>35</v>
      </c>
      <c r="M8" s="56" t="s">
        <v>36</v>
      </c>
      <c r="N8" s="63">
        <v>448</v>
      </c>
      <c r="O8" s="56" t="s">
        <v>36</v>
      </c>
      <c r="P8" s="56" t="s">
        <v>37</v>
      </c>
      <c r="Q8" s="56">
        <v>120</v>
      </c>
      <c r="R8" s="56">
        <v>6</v>
      </c>
      <c r="S8" s="56" t="s">
        <v>39</v>
      </c>
      <c r="T8" s="56" t="s">
        <v>40</v>
      </c>
      <c r="U8" s="56">
        <v>566</v>
      </c>
      <c r="V8" s="56"/>
      <c r="W8" s="136" t="s">
        <v>46</v>
      </c>
      <c r="X8" s="56">
        <v>27.4</v>
      </c>
      <c r="Y8" s="56">
        <v>7.8</v>
      </c>
      <c r="Z8" s="56">
        <v>43.4</v>
      </c>
      <c r="AA8" s="56">
        <v>2.6</v>
      </c>
      <c r="AB8" s="56">
        <v>338</v>
      </c>
      <c r="AC8" s="56">
        <v>40.299999999999997</v>
      </c>
      <c r="AD8" s="137"/>
    </row>
    <row r="9" spans="1:30">
      <c r="A9" s="135">
        <v>2</v>
      </c>
      <c r="B9" s="12" t="s">
        <v>60</v>
      </c>
      <c r="C9" s="99">
        <v>2</v>
      </c>
      <c r="D9" s="60">
        <v>45384</v>
      </c>
      <c r="E9" s="52">
        <v>6.11</v>
      </c>
      <c r="F9" s="56">
        <v>6190</v>
      </c>
      <c r="G9" s="54">
        <v>5.6</v>
      </c>
      <c r="H9" s="55" t="s">
        <v>33</v>
      </c>
      <c r="I9" s="55">
        <v>16.8</v>
      </c>
      <c r="J9" s="56">
        <v>1020</v>
      </c>
      <c r="K9" s="56" t="s">
        <v>34</v>
      </c>
      <c r="L9" s="56" t="s">
        <v>35</v>
      </c>
      <c r="M9" s="56" t="s">
        <v>35</v>
      </c>
      <c r="N9" s="63">
        <v>400</v>
      </c>
      <c r="O9" s="56" t="s">
        <v>35</v>
      </c>
      <c r="P9" s="56" t="s">
        <v>37</v>
      </c>
      <c r="Q9" s="56" t="s">
        <v>41</v>
      </c>
      <c r="R9" s="56">
        <v>4.8</v>
      </c>
      <c r="S9" s="56" t="s">
        <v>39</v>
      </c>
      <c r="T9" s="56" t="s">
        <v>42</v>
      </c>
      <c r="U9" s="56">
        <v>552</v>
      </c>
      <c r="V9" s="56"/>
      <c r="W9" s="136">
        <v>3.4</v>
      </c>
      <c r="X9" s="56">
        <v>26.6</v>
      </c>
      <c r="Y9" s="56">
        <v>7.67</v>
      </c>
      <c r="Z9" s="56">
        <v>41.9</v>
      </c>
      <c r="AA9" s="56">
        <v>2.7</v>
      </c>
      <c r="AB9" s="56">
        <v>330</v>
      </c>
      <c r="AC9" s="56">
        <v>39.200000000000003</v>
      </c>
      <c r="AD9" s="137"/>
    </row>
    <row r="10" spans="1:30">
      <c r="A10" s="135">
        <v>2</v>
      </c>
      <c r="B10" s="12" t="s">
        <v>60</v>
      </c>
      <c r="C10" s="99">
        <v>2</v>
      </c>
      <c r="D10" s="60">
        <v>45300</v>
      </c>
      <c r="E10" s="52">
        <v>6.34</v>
      </c>
      <c r="F10" s="56">
        <v>1880</v>
      </c>
      <c r="G10" s="54">
        <v>10</v>
      </c>
      <c r="H10" s="55" t="s">
        <v>33</v>
      </c>
      <c r="I10" s="55">
        <v>8.5</v>
      </c>
      <c r="J10" s="56">
        <v>519</v>
      </c>
      <c r="K10" s="56" t="s">
        <v>34</v>
      </c>
      <c r="L10" s="56" t="s">
        <v>35</v>
      </c>
      <c r="M10" s="56" t="s">
        <v>35</v>
      </c>
      <c r="N10" s="63">
        <v>460</v>
      </c>
      <c r="O10" s="56" t="s">
        <v>35</v>
      </c>
      <c r="P10" s="56" t="s">
        <v>37</v>
      </c>
      <c r="Q10" s="56">
        <v>100</v>
      </c>
      <c r="R10" s="56">
        <v>4.7</v>
      </c>
      <c r="S10" s="56" t="s">
        <v>39</v>
      </c>
      <c r="T10" s="56" t="s">
        <v>42</v>
      </c>
      <c r="U10" s="56">
        <v>531</v>
      </c>
      <c r="V10" s="56"/>
      <c r="W10" s="136">
        <v>136</v>
      </c>
      <c r="X10" s="56">
        <v>24.5</v>
      </c>
      <c r="Y10" s="56">
        <v>7.36</v>
      </c>
      <c r="Z10" s="56">
        <v>39.799999999999997</v>
      </c>
      <c r="AA10" s="56">
        <v>2.4</v>
      </c>
      <c r="AB10" s="56">
        <v>318</v>
      </c>
      <c r="AC10" s="56">
        <v>37.200000000000003</v>
      </c>
      <c r="AD10" s="137"/>
    </row>
    <row r="11" spans="1:30">
      <c r="A11" s="135">
        <v>2</v>
      </c>
      <c r="B11" s="12" t="s">
        <v>60</v>
      </c>
      <c r="C11" s="99">
        <v>2</v>
      </c>
      <c r="D11" s="60">
        <v>45209</v>
      </c>
      <c r="E11" s="52">
        <v>6.78</v>
      </c>
      <c r="F11" s="56">
        <v>1960</v>
      </c>
      <c r="G11" s="54">
        <v>12</v>
      </c>
      <c r="H11" s="55" t="s">
        <v>33</v>
      </c>
      <c r="I11" s="55">
        <v>8.9</v>
      </c>
      <c r="J11" s="56">
        <v>543</v>
      </c>
      <c r="K11" s="56" t="s">
        <v>34</v>
      </c>
      <c r="L11" s="56" t="s">
        <v>35</v>
      </c>
      <c r="M11" s="56" t="s">
        <v>35</v>
      </c>
      <c r="N11" s="63">
        <v>440</v>
      </c>
      <c r="O11" s="56" t="s">
        <v>35</v>
      </c>
      <c r="P11" s="56" t="s">
        <v>37</v>
      </c>
      <c r="Q11" s="56">
        <v>100</v>
      </c>
      <c r="R11" s="56">
        <v>6.5</v>
      </c>
      <c r="S11" s="56" t="s">
        <v>39</v>
      </c>
      <c r="T11" s="56" t="s">
        <v>42</v>
      </c>
      <c r="U11" s="56">
        <v>563</v>
      </c>
      <c r="V11" s="56"/>
      <c r="W11" s="136">
        <v>12.5</v>
      </c>
      <c r="X11" s="56">
        <v>24.9</v>
      </c>
      <c r="Y11" s="56">
        <v>7.65</v>
      </c>
      <c r="Z11" s="56">
        <v>40.9</v>
      </c>
      <c r="AA11" s="56">
        <v>2.6</v>
      </c>
      <c r="AB11" s="56">
        <v>338</v>
      </c>
      <c r="AC11" s="56">
        <v>39.1</v>
      </c>
      <c r="AD11" s="137"/>
    </row>
    <row r="12" spans="1:30">
      <c r="A12" s="135">
        <v>2</v>
      </c>
      <c r="B12" s="12" t="s">
        <v>60</v>
      </c>
      <c r="C12" s="99">
        <v>2</v>
      </c>
      <c r="D12" s="60">
        <v>45118</v>
      </c>
      <c r="E12" s="52">
        <v>6.79</v>
      </c>
      <c r="F12" s="56">
        <v>2060</v>
      </c>
      <c r="G12" s="54">
        <v>11.9</v>
      </c>
      <c r="H12" s="55" t="s">
        <v>33</v>
      </c>
      <c r="I12" s="55">
        <v>9.1</v>
      </c>
      <c r="J12" s="56">
        <v>555</v>
      </c>
      <c r="K12" s="56" t="s">
        <v>34</v>
      </c>
      <c r="L12" s="56" t="s">
        <v>35</v>
      </c>
      <c r="M12" s="56" t="s">
        <v>36</v>
      </c>
      <c r="N12" s="63">
        <v>435</v>
      </c>
      <c r="O12" s="56" t="s">
        <v>36</v>
      </c>
      <c r="P12" s="56" t="s">
        <v>37</v>
      </c>
      <c r="Q12" s="56">
        <v>110</v>
      </c>
      <c r="R12" s="56">
        <v>5.4</v>
      </c>
      <c r="S12" s="56" t="s">
        <v>39</v>
      </c>
      <c r="T12" s="56" t="s">
        <v>40</v>
      </c>
      <c r="U12" s="56">
        <v>570</v>
      </c>
      <c r="V12" s="56"/>
      <c r="W12" s="136">
        <v>7.2</v>
      </c>
      <c r="X12" s="56">
        <v>24.9</v>
      </c>
      <c r="Y12" s="56">
        <v>7.58</v>
      </c>
      <c r="Z12" s="56">
        <v>40.6</v>
      </c>
      <c r="AA12" s="56">
        <v>3.4</v>
      </c>
      <c r="AB12" s="56">
        <v>341</v>
      </c>
      <c r="AC12" s="56">
        <v>40.299999999999997</v>
      </c>
      <c r="AD12" s="137"/>
    </row>
    <row r="13" spans="1:30">
      <c r="A13" s="135">
        <v>2</v>
      </c>
      <c r="B13" s="12" t="s">
        <v>60</v>
      </c>
      <c r="C13" s="99">
        <v>2</v>
      </c>
      <c r="D13" s="60">
        <v>45042</v>
      </c>
      <c r="E13" s="52">
        <v>6.66</v>
      </c>
      <c r="F13" s="56">
        <v>2200</v>
      </c>
      <c r="G13" s="54">
        <v>6.1</v>
      </c>
      <c r="H13" s="55" t="s">
        <v>33</v>
      </c>
      <c r="I13" s="55">
        <v>9.6</v>
      </c>
      <c r="J13" s="56">
        <v>586</v>
      </c>
      <c r="K13" s="56" t="s">
        <v>34</v>
      </c>
      <c r="L13" s="56" t="s">
        <v>35</v>
      </c>
      <c r="M13" s="56" t="s">
        <v>35</v>
      </c>
      <c r="N13" s="63">
        <v>460</v>
      </c>
      <c r="O13" s="56" t="s">
        <v>35</v>
      </c>
      <c r="P13" s="56" t="s">
        <v>37</v>
      </c>
      <c r="Q13" s="56" t="s">
        <v>41</v>
      </c>
      <c r="R13" s="56">
        <v>5.3</v>
      </c>
      <c r="S13" s="56" t="s">
        <v>39</v>
      </c>
      <c r="T13" s="56" t="s">
        <v>42</v>
      </c>
      <c r="U13" s="56">
        <v>599</v>
      </c>
      <c r="V13" s="56"/>
      <c r="W13" s="136">
        <v>6.8</v>
      </c>
      <c r="X13" s="56">
        <v>25.2</v>
      </c>
      <c r="Y13" s="56">
        <v>7.82</v>
      </c>
      <c r="Z13" s="56">
        <v>49.3</v>
      </c>
      <c r="AA13" s="56">
        <v>2.9</v>
      </c>
      <c r="AB13" s="56">
        <v>358</v>
      </c>
      <c r="AC13" s="56">
        <v>42.6</v>
      </c>
      <c r="AD13" s="137"/>
    </row>
    <row r="14" spans="1:30">
      <c r="A14" s="135">
        <v>2</v>
      </c>
      <c r="B14" s="12" t="s">
        <v>60</v>
      </c>
      <c r="C14" s="99">
        <v>2</v>
      </c>
      <c r="D14" s="60">
        <v>44950</v>
      </c>
      <c r="E14" s="52">
        <v>6.86</v>
      </c>
      <c r="F14" s="56">
        <v>1930</v>
      </c>
      <c r="G14" s="54">
        <v>7.1</v>
      </c>
      <c r="H14" s="55" t="s">
        <v>33</v>
      </c>
      <c r="I14" s="55">
        <v>8</v>
      </c>
      <c r="J14" s="56">
        <v>488</v>
      </c>
      <c r="K14" s="56" t="s">
        <v>34</v>
      </c>
      <c r="L14" s="56" t="s">
        <v>35</v>
      </c>
      <c r="M14" s="56" t="s">
        <v>35</v>
      </c>
      <c r="N14" s="63">
        <v>370</v>
      </c>
      <c r="O14" s="56" t="s">
        <v>35</v>
      </c>
      <c r="P14" s="56" t="s">
        <v>37</v>
      </c>
      <c r="Q14" s="56">
        <v>100</v>
      </c>
      <c r="R14" s="56">
        <v>5</v>
      </c>
      <c r="S14" s="56" t="s">
        <v>39</v>
      </c>
      <c r="T14" s="56" t="s">
        <v>42</v>
      </c>
      <c r="U14" s="56">
        <v>500</v>
      </c>
      <c r="V14" s="56"/>
      <c r="W14" s="136">
        <v>4.9000000000000004</v>
      </c>
      <c r="X14" s="56">
        <v>20.100000000000001</v>
      </c>
      <c r="Y14" s="56">
        <v>6.51</v>
      </c>
      <c r="Z14" s="56">
        <v>34.200000000000003</v>
      </c>
      <c r="AA14" s="56">
        <v>2.2000000000000002</v>
      </c>
      <c r="AB14" s="56">
        <v>300</v>
      </c>
      <c r="AC14" s="56">
        <v>34.700000000000003</v>
      </c>
      <c r="AD14" s="137"/>
    </row>
    <row r="15" spans="1:30">
      <c r="A15" s="135">
        <v>2</v>
      </c>
      <c r="B15" s="12" t="s">
        <v>60</v>
      </c>
      <c r="C15" s="99">
        <v>2</v>
      </c>
      <c r="D15" s="60">
        <v>44852</v>
      </c>
      <c r="E15" s="52">
        <v>6.66</v>
      </c>
      <c r="F15" s="56">
        <v>2280</v>
      </c>
      <c r="G15" s="54"/>
      <c r="H15" s="55"/>
      <c r="I15" s="55"/>
      <c r="J15" s="56"/>
      <c r="K15" s="56"/>
      <c r="L15" s="53"/>
      <c r="M15" s="56" t="s">
        <v>36</v>
      </c>
      <c r="N15" s="63">
        <v>547</v>
      </c>
      <c r="O15" s="56"/>
      <c r="P15" s="56" t="s">
        <v>37</v>
      </c>
      <c r="Q15" s="56">
        <v>160</v>
      </c>
      <c r="R15" s="56">
        <v>12.9</v>
      </c>
      <c r="S15" s="56">
        <v>0.01</v>
      </c>
      <c r="T15" s="56" t="s">
        <v>40</v>
      </c>
      <c r="U15" s="56"/>
      <c r="V15" s="12"/>
      <c r="W15" s="136">
        <v>1.5</v>
      </c>
      <c r="X15" s="53"/>
      <c r="Y15" s="53"/>
      <c r="Z15" s="53"/>
      <c r="AA15" s="53"/>
      <c r="AB15" s="53"/>
      <c r="AC15" s="53"/>
      <c r="AD15" s="137">
        <v>66</v>
      </c>
    </row>
    <row r="16" spans="1:30">
      <c r="A16" s="135">
        <v>2</v>
      </c>
      <c r="B16" s="12" t="s">
        <v>60</v>
      </c>
      <c r="C16" s="99">
        <v>2</v>
      </c>
      <c r="D16" s="60">
        <v>44747</v>
      </c>
      <c r="E16" s="52">
        <v>7.35</v>
      </c>
      <c r="F16" s="56">
        <v>2330</v>
      </c>
      <c r="G16" s="54">
        <v>8.9</v>
      </c>
      <c r="H16" s="55" t="s">
        <v>33</v>
      </c>
      <c r="I16" s="55">
        <v>17.2</v>
      </c>
      <c r="J16" s="56">
        <v>1050</v>
      </c>
      <c r="K16" s="56" t="s">
        <v>34</v>
      </c>
      <c r="L16" s="56" t="s">
        <v>35</v>
      </c>
      <c r="M16" s="56" t="s">
        <v>36</v>
      </c>
      <c r="N16" s="63">
        <v>320</v>
      </c>
      <c r="O16" s="56" t="s">
        <v>36</v>
      </c>
      <c r="P16" s="56" t="s">
        <v>37</v>
      </c>
      <c r="Q16" s="56">
        <v>90</v>
      </c>
      <c r="R16" s="56">
        <v>6.4</v>
      </c>
      <c r="S16" s="56" t="s">
        <v>39</v>
      </c>
      <c r="T16" s="56" t="s">
        <v>40</v>
      </c>
      <c r="U16" s="56">
        <v>570</v>
      </c>
      <c r="V16" s="12"/>
      <c r="W16" s="136"/>
      <c r="X16" s="56">
        <v>17</v>
      </c>
      <c r="Y16" s="56">
        <v>6.13</v>
      </c>
      <c r="Z16" s="56">
        <v>36.5</v>
      </c>
      <c r="AA16" s="56">
        <v>4.3</v>
      </c>
      <c r="AB16" s="56">
        <v>341</v>
      </c>
      <c r="AC16" s="56">
        <v>40.299999999999997</v>
      </c>
      <c r="AD16" s="137"/>
    </row>
    <row r="17" spans="1:30">
      <c r="A17" s="135">
        <v>2</v>
      </c>
      <c r="B17" s="12" t="s">
        <v>60</v>
      </c>
      <c r="C17" s="99">
        <v>2</v>
      </c>
      <c r="D17" s="60">
        <v>44720</v>
      </c>
      <c r="E17" s="52">
        <v>6.95</v>
      </c>
      <c r="F17" s="56">
        <v>2030</v>
      </c>
      <c r="G17" s="54" t="s">
        <v>36</v>
      </c>
      <c r="H17" s="55" t="s">
        <v>33</v>
      </c>
      <c r="I17" s="55">
        <v>8</v>
      </c>
      <c r="J17" s="55">
        <v>488</v>
      </c>
      <c r="K17" s="55" t="s">
        <v>34</v>
      </c>
      <c r="L17" s="56" t="s">
        <v>35</v>
      </c>
      <c r="M17" s="56" t="s">
        <v>36</v>
      </c>
      <c r="N17" s="63">
        <v>412</v>
      </c>
      <c r="O17" s="56" t="s">
        <v>36</v>
      </c>
      <c r="P17" s="56" t="s">
        <v>37</v>
      </c>
      <c r="Q17" s="56">
        <v>140</v>
      </c>
      <c r="R17" s="56">
        <v>6.7</v>
      </c>
      <c r="S17" s="56" t="s">
        <v>39</v>
      </c>
      <c r="T17" s="56" t="s">
        <v>40</v>
      </c>
      <c r="U17" s="56">
        <v>584</v>
      </c>
      <c r="V17" s="12"/>
      <c r="W17" s="136"/>
      <c r="X17" s="56">
        <v>19.100000000000001</v>
      </c>
      <c r="Y17" s="56">
        <v>6.56</v>
      </c>
      <c r="Z17" s="56">
        <v>35.5</v>
      </c>
      <c r="AA17" s="56">
        <v>3.9</v>
      </c>
      <c r="AB17" s="56">
        <v>349</v>
      </c>
      <c r="AC17" s="56">
        <v>41.3</v>
      </c>
      <c r="AD17" s="137"/>
    </row>
    <row r="18" spans="1:30">
      <c r="A18" s="135">
        <v>2</v>
      </c>
      <c r="B18" s="12" t="s">
        <v>60</v>
      </c>
      <c r="C18" s="99">
        <v>2</v>
      </c>
      <c r="D18" s="60">
        <v>44585</v>
      </c>
      <c r="E18" s="52">
        <v>6.89</v>
      </c>
      <c r="F18" s="56">
        <v>1920</v>
      </c>
      <c r="G18" s="54">
        <v>9.6</v>
      </c>
      <c r="H18" s="55" t="s">
        <v>33</v>
      </c>
      <c r="I18" s="55">
        <v>7.8</v>
      </c>
      <c r="J18" s="55">
        <v>476</v>
      </c>
      <c r="K18" s="55" t="s">
        <v>34</v>
      </c>
      <c r="L18" s="56" t="s">
        <v>35</v>
      </c>
      <c r="M18" s="56" t="s">
        <v>36</v>
      </c>
      <c r="N18" s="63">
        <v>441</v>
      </c>
      <c r="O18" s="56" t="s">
        <v>36</v>
      </c>
      <c r="P18" s="56" t="s">
        <v>37</v>
      </c>
      <c r="Q18" s="56">
        <v>140</v>
      </c>
      <c r="R18" s="56">
        <v>6.8</v>
      </c>
      <c r="S18" s="56" t="s">
        <v>39</v>
      </c>
      <c r="T18" s="56" t="s">
        <v>40</v>
      </c>
      <c r="U18" s="56">
        <v>594</v>
      </c>
      <c r="V18" s="12"/>
      <c r="W18" s="136"/>
      <c r="X18" s="56">
        <v>19.7</v>
      </c>
      <c r="Y18" s="56">
        <v>6.78</v>
      </c>
      <c r="Z18" s="56">
        <v>36.1</v>
      </c>
      <c r="AA18" s="56">
        <v>3.1</v>
      </c>
      <c r="AB18" s="56">
        <v>357</v>
      </c>
      <c r="AC18" s="56">
        <v>40.9</v>
      </c>
      <c r="AD18" s="137"/>
    </row>
    <row r="19" spans="1:30">
      <c r="A19" s="135">
        <v>2</v>
      </c>
      <c r="B19" s="12" t="s">
        <v>60</v>
      </c>
      <c r="C19" s="99">
        <v>2</v>
      </c>
      <c r="D19" s="60">
        <v>44489</v>
      </c>
      <c r="E19" s="52">
        <v>6.98</v>
      </c>
      <c r="F19" s="56">
        <v>1870</v>
      </c>
      <c r="G19" s="54">
        <v>8.1999999999999993</v>
      </c>
      <c r="H19" s="55" t="s">
        <v>33</v>
      </c>
      <c r="I19" s="55">
        <v>7.1</v>
      </c>
      <c r="J19" s="56">
        <v>433</v>
      </c>
      <c r="K19" s="56" t="s">
        <v>34</v>
      </c>
      <c r="L19" s="53" t="s">
        <v>35</v>
      </c>
      <c r="M19" s="56" t="s">
        <v>36</v>
      </c>
      <c r="N19" s="63">
        <v>425</v>
      </c>
      <c r="O19" s="56" t="s">
        <v>36</v>
      </c>
      <c r="P19" s="56" t="s">
        <v>37</v>
      </c>
      <c r="Q19" s="56">
        <v>140</v>
      </c>
      <c r="R19" s="56">
        <v>6.2</v>
      </c>
      <c r="S19" s="56" t="s">
        <v>39</v>
      </c>
      <c r="T19" s="56" t="s">
        <v>40</v>
      </c>
      <c r="U19" s="56">
        <v>568</v>
      </c>
      <c r="V19" s="12"/>
      <c r="W19" s="136"/>
      <c r="X19" s="53">
        <v>20.2</v>
      </c>
      <c r="Y19" s="53">
        <v>6.78</v>
      </c>
      <c r="Z19" s="53">
        <v>34.700000000000003</v>
      </c>
      <c r="AA19" s="53">
        <v>2.8</v>
      </c>
      <c r="AB19" s="53">
        <v>341</v>
      </c>
      <c r="AC19" s="53">
        <v>39.6</v>
      </c>
      <c r="AD19" s="137"/>
    </row>
    <row r="20" spans="1:30">
      <c r="A20" s="135">
        <v>2</v>
      </c>
      <c r="B20" s="12" t="s">
        <v>60</v>
      </c>
      <c r="C20" s="99">
        <v>2</v>
      </c>
      <c r="D20" s="60">
        <v>44406</v>
      </c>
      <c r="E20" s="52">
        <v>6.9</v>
      </c>
      <c r="F20" s="56">
        <v>1940</v>
      </c>
      <c r="G20" s="54">
        <v>8.1</v>
      </c>
      <c r="H20" s="55" t="s">
        <v>33</v>
      </c>
      <c r="I20" s="55">
        <v>7.3</v>
      </c>
      <c r="J20" s="56">
        <v>445</v>
      </c>
      <c r="K20" s="56" t="s">
        <v>34</v>
      </c>
      <c r="L20" s="56" t="s">
        <v>35</v>
      </c>
      <c r="M20" s="56" t="s">
        <v>36</v>
      </c>
      <c r="N20" s="63">
        <v>425</v>
      </c>
      <c r="O20" s="56" t="s">
        <v>36</v>
      </c>
      <c r="P20" s="56" t="s">
        <v>37</v>
      </c>
      <c r="Q20" s="56">
        <v>140</v>
      </c>
      <c r="R20" s="56">
        <v>6.08</v>
      </c>
      <c r="S20" s="56" t="s">
        <v>39</v>
      </c>
      <c r="T20" s="56" t="s">
        <v>40</v>
      </c>
      <c r="U20" s="56">
        <v>560</v>
      </c>
      <c r="V20" s="12"/>
      <c r="W20" s="136"/>
      <c r="X20" s="56">
        <v>18.100000000000001</v>
      </c>
      <c r="Y20" s="56">
        <v>6.54</v>
      </c>
      <c r="Z20" s="56">
        <v>34.700000000000003</v>
      </c>
      <c r="AA20" s="56">
        <v>2.4</v>
      </c>
      <c r="AB20" s="56">
        <v>339</v>
      </c>
      <c r="AC20" s="56">
        <v>37.299999999999997</v>
      </c>
      <c r="AD20" s="137"/>
    </row>
    <row r="21" spans="1:30">
      <c r="A21" s="135">
        <v>2</v>
      </c>
      <c r="B21" s="12" t="s">
        <v>60</v>
      </c>
      <c r="C21" s="99">
        <v>2</v>
      </c>
      <c r="D21" s="60">
        <v>44313</v>
      </c>
      <c r="E21" s="52"/>
      <c r="F21" s="56"/>
      <c r="G21" s="54"/>
      <c r="H21" s="55"/>
      <c r="I21" s="55"/>
      <c r="J21" s="56"/>
      <c r="K21" s="56"/>
      <c r="L21" s="56"/>
      <c r="M21" s="56"/>
      <c r="N21" s="63">
        <v>406</v>
      </c>
      <c r="O21" s="56"/>
      <c r="P21" s="56"/>
      <c r="Q21" s="56"/>
      <c r="R21" s="56"/>
      <c r="S21" s="56"/>
      <c r="T21" s="56"/>
      <c r="U21" s="56"/>
      <c r="V21" s="12"/>
      <c r="W21" s="136"/>
      <c r="X21" s="56"/>
      <c r="Y21" s="56"/>
      <c r="Z21" s="56"/>
      <c r="AA21" s="56"/>
      <c r="AB21" s="56"/>
      <c r="AC21" s="56"/>
      <c r="AD21" s="137"/>
    </row>
    <row r="22" spans="1:30">
      <c r="A22" s="135">
        <v>2</v>
      </c>
      <c r="B22" s="12" t="s">
        <v>60</v>
      </c>
      <c r="C22" s="99">
        <v>2</v>
      </c>
      <c r="D22" s="60">
        <v>44284</v>
      </c>
      <c r="E22" s="52">
        <v>6.8</v>
      </c>
      <c r="F22" s="56">
        <v>1850</v>
      </c>
      <c r="G22" s="54">
        <v>7.6</v>
      </c>
      <c r="H22" s="55" t="s">
        <v>33</v>
      </c>
      <c r="I22" s="55">
        <v>6.9</v>
      </c>
      <c r="J22" s="56">
        <v>421</v>
      </c>
      <c r="K22" s="56" t="s">
        <v>34</v>
      </c>
      <c r="L22" s="56" t="s">
        <v>35</v>
      </c>
      <c r="M22" s="56" t="s">
        <v>36</v>
      </c>
      <c r="N22" s="63">
        <v>396</v>
      </c>
      <c r="O22" s="56" t="s">
        <v>36</v>
      </c>
      <c r="P22" s="56" t="s">
        <v>37</v>
      </c>
      <c r="Q22" s="56">
        <v>140</v>
      </c>
      <c r="R22" s="56">
        <v>5.6</v>
      </c>
      <c r="S22" s="56" t="s">
        <v>39</v>
      </c>
      <c r="T22" s="56" t="s">
        <v>40</v>
      </c>
      <c r="U22" s="56">
        <v>527</v>
      </c>
      <c r="V22" s="12"/>
      <c r="W22" s="136">
        <v>23</v>
      </c>
      <c r="X22" s="56">
        <v>19.100000000000001</v>
      </c>
      <c r="Y22" s="56">
        <v>6.59</v>
      </c>
      <c r="Z22" s="56">
        <v>35.799999999999997</v>
      </c>
      <c r="AA22" s="56">
        <v>2.7</v>
      </c>
      <c r="AB22" s="56">
        <v>316</v>
      </c>
      <c r="AC22" s="56">
        <v>36.700000000000003</v>
      </c>
      <c r="AD22" s="137"/>
    </row>
    <row r="23" spans="1:30">
      <c r="A23" s="135">
        <v>2</v>
      </c>
      <c r="B23" s="12" t="s">
        <v>60</v>
      </c>
      <c r="C23" s="99">
        <v>2</v>
      </c>
      <c r="D23" s="60">
        <v>44250</v>
      </c>
      <c r="E23" s="52"/>
      <c r="F23" s="56"/>
      <c r="G23" s="54"/>
      <c r="H23" s="55"/>
      <c r="I23" s="55"/>
      <c r="J23" s="56"/>
      <c r="K23" s="56"/>
      <c r="L23" s="56"/>
      <c r="M23" s="56"/>
      <c r="N23" s="63">
        <v>450</v>
      </c>
      <c r="O23" s="56"/>
      <c r="P23" s="56"/>
      <c r="Q23" s="56"/>
      <c r="R23" s="56"/>
      <c r="S23" s="56"/>
      <c r="T23" s="56"/>
      <c r="U23" s="56"/>
      <c r="V23" s="12"/>
      <c r="W23" s="136"/>
      <c r="X23" s="56"/>
      <c r="Y23" s="56"/>
      <c r="Z23" s="56"/>
      <c r="AA23" s="56"/>
      <c r="AB23" s="56"/>
      <c r="AC23" s="56"/>
      <c r="AD23" s="137"/>
    </row>
    <row r="24" spans="1:30">
      <c r="A24" s="135">
        <v>2</v>
      </c>
      <c r="B24" s="12" t="s">
        <v>60</v>
      </c>
      <c r="C24" s="99">
        <v>2</v>
      </c>
      <c r="D24" s="60">
        <v>44236</v>
      </c>
      <c r="E24" s="52">
        <v>6.88</v>
      </c>
      <c r="F24" s="56">
        <v>1810</v>
      </c>
      <c r="G24" s="54">
        <v>11</v>
      </c>
      <c r="H24" s="55" t="s">
        <v>33</v>
      </c>
      <c r="I24" s="55">
        <v>7.1</v>
      </c>
      <c r="J24" s="56">
        <v>433</v>
      </c>
      <c r="K24" s="56" t="s">
        <v>34</v>
      </c>
      <c r="L24" s="56" t="s">
        <v>35</v>
      </c>
      <c r="M24" s="56" t="s">
        <v>36</v>
      </c>
      <c r="N24" s="63">
        <v>374</v>
      </c>
      <c r="O24" s="56" t="s">
        <v>36</v>
      </c>
      <c r="P24" s="56" t="s">
        <v>37</v>
      </c>
      <c r="Q24" s="56">
        <v>140</v>
      </c>
      <c r="R24" s="56">
        <v>5.3</v>
      </c>
      <c r="S24" s="56" t="s">
        <v>39</v>
      </c>
      <c r="T24" s="56" t="s">
        <v>40</v>
      </c>
      <c r="U24" s="56">
        <v>531</v>
      </c>
      <c r="V24" s="12"/>
      <c r="W24" s="136">
        <v>18.8</v>
      </c>
      <c r="X24" s="56">
        <v>20.9</v>
      </c>
      <c r="Y24" s="56">
        <v>7.03</v>
      </c>
      <c r="Z24" s="56">
        <v>37</v>
      </c>
      <c r="AA24" s="56">
        <v>2.9</v>
      </c>
      <c r="AB24" s="56">
        <v>318</v>
      </c>
      <c r="AC24" s="56">
        <v>37.4</v>
      </c>
      <c r="AD24" s="137"/>
    </row>
    <row r="25" spans="1:30">
      <c r="A25" s="135">
        <v>2</v>
      </c>
      <c r="B25" s="12" t="s">
        <v>60</v>
      </c>
      <c r="C25" s="99">
        <v>2</v>
      </c>
      <c r="D25" s="60">
        <v>44229</v>
      </c>
      <c r="E25" s="52">
        <v>6.81</v>
      </c>
      <c r="F25" s="56">
        <v>1770</v>
      </c>
      <c r="G25" s="54">
        <v>8</v>
      </c>
      <c r="H25" s="55" t="s">
        <v>33</v>
      </c>
      <c r="I25" s="55">
        <v>6.9</v>
      </c>
      <c r="J25" s="56">
        <v>421</v>
      </c>
      <c r="K25" s="56" t="s">
        <v>34</v>
      </c>
      <c r="L25" s="56" t="s">
        <v>35</v>
      </c>
      <c r="M25" s="56" t="s">
        <v>36</v>
      </c>
      <c r="N25" s="63">
        <v>372</v>
      </c>
      <c r="O25" s="56" t="s">
        <v>36</v>
      </c>
      <c r="P25" s="56" t="s">
        <v>37</v>
      </c>
      <c r="Q25" s="56">
        <v>140</v>
      </c>
      <c r="R25" s="56">
        <v>5.3</v>
      </c>
      <c r="S25" s="56" t="s">
        <v>39</v>
      </c>
      <c r="T25" s="56" t="s">
        <v>40</v>
      </c>
      <c r="U25" s="56">
        <v>514</v>
      </c>
      <c r="V25" s="12"/>
      <c r="W25" s="136">
        <v>17.3</v>
      </c>
      <c r="X25" s="56">
        <v>12.8</v>
      </c>
      <c r="Y25" s="56">
        <v>6.42</v>
      </c>
      <c r="Z25" s="56">
        <v>36.700000000000003</v>
      </c>
      <c r="AA25" s="56">
        <v>2.2999999999999998</v>
      </c>
      <c r="AB25" s="56">
        <v>306</v>
      </c>
      <c r="AC25" s="56">
        <v>37.4</v>
      </c>
      <c r="AD25" s="137"/>
    </row>
    <row r="26" spans="1:30">
      <c r="A26" s="135">
        <v>2</v>
      </c>
      <c r="B26" s="12" t="s">
        <v>60</v>
      </c>
      <c r="C26" s="99">
        <v>2</v>
      </c>
      <c r="D26" s="60">
        <v>44224</v>
      </c>
      <c r="E26" s="52">
        <v>6.74</v>
      </c>
      <c r="F26" s="56">
        <v>1770</v>
      </c>
      <c r="G26" s="54">
        <v>8.3000000000000007</v>
      </c>
      <c r="H26" s="55" t="s">
        <v>33</v>
      </c>
      <c r="I26" s="55">
        <v>6.9</v>
      </c>
      <c r="J26" s="56">
        <v>421</v>
      </c>
      <c r="K26" s="56" t="s">
        <v>34</v>
      </c>
      <c r="L26" s="56" t="s">
        <v>35</v>
      </c>
      <c r="M26" s="56" t="s">
        <v>35</v>
      </c>
      <c r="N26" s="63">
        <v>360</v>
      </c>
      <c r="O26" s="56" t="s">
        <v>35</v>
      </c>
      <c r="P26" s="56" t="s">
        <v>37</v>
      </c>
      <c r="Q26" s="56">
        <v>100</v>
      </c>
      <c r="R26" s="56">
        <v>4.9000000000000004</v>
      </c>
      <c r="S26" s="56" t="s">
        <v>39</v>
      </c>
      <c r="T26" s="56" t="s">
        <v>42</v>
      </c>
      <c r="U26" s="56">
        <v>536</v>
      </c>
      <c r="V26" s="12"/>
      <c r="W26" s="136">
        <v>62.5</v>
      </c>
      <c r="X26" s="56">
        <v>16</v>
      </c>
      <c r="Y26" s="56">
        <v>6.57</v>
      </c>
      <c r="Z26" s="56">
        <v>36</v>
      </c>
      <c r="AA26" s="56">
        <v>2.6</v>
      </c>
      <c r="AB26" s="56">
        <v>325</v>
      </c>
      <c r="AC26" s="56">
        <v>35.4</v>
      </c>
      <c r="AD26" s="137"/>
    </row>
    <row r="27" spans="1:30" ht="15" thickBot="1">
      <c r="A27" s="235">
        <v>2</v>
      </c>
      <c r="B27" s="25" t="s">
        <v>60</v>
      </c>
      <c r="C27" s="236">
        <v>2</v>
      </c>
      <c r="D27" s="142">
        <v>44160</v>
      </c>
      <c r="E27" s="144">
        <v>6.75</v>
      </c>
      <c r="F27" s="145">
        <v>1760</v>
      </c>
      <c r="G27" s="190">
        <v>6.8</v>
      </c>
      <c r="H27" s="191" t="s">
        <v>33</v>
      </c>
      <c r="I27" s="191">
        <v>7.7</v>
      </c>
      <c r="J27" s="145">
        <v>470</v>
      </c>
      <c r="K27" s="145" t="s">
        <v>34</v>
      </c>
      <c r="L27" s="145" t="s">
        <v>35</v>
      </c>
      <c r="M27" s="145" t="s">
        <v>35</v>
      </c>
      <c r="N27" s="147">
        <v>370</v>
      </c>
      <c r="O27" s="145" t="s">
        <v>35</v>
      </c>
      <c r="P27" s="145" t="s">
        <v>37</v>
      </c>
      <c r="Q27" s="145">
        <v>100</v>
      </c>
      <c r="R27" s="145">
        <v>5.2</v>
      </c>
      <c r="S27" s="145" t="s">
        <v>39</v>
      </c>
      <c r="T27" s="145" t="s">
        <v>42</v>
      </c>
      <c r="U27" s="145">
        <v>512</v>
      </c>
      <c r="V27" s="25"/>
      <c r="W27" s="148">
        <v>36</v>
      </c>
      <c r="X27" s="145">
        <v>21.1</v>
      </c>
      <c r="Y27" s="145">
        <v>6.74</v>
      </c>
      <c r="Z27" s="145">
        <v>34.799999999999997</v>
      </c>
      <c r="AA27" s="145">
        <v>2.4</v>
      </c>
      <c r="AB27" s="145">
        <v>308</v>
      </c>
      <c r="AC27" s="145">
        <v>35.299999999999997</v>
      </c>
      <c r="AD27" s="241"/>
    </row>
    <row r="28" spans="1:30">
      <c r="A28" s="129">
        <v>2</v>
      </c>
      <c r="B28" s="8" t="s">
        <v>60</v>
      </c>
      <c r="C28" s="130">
        <v>3</v>
      </c>
      <c r="D28" s="131">
        <v>46085</v>
      </c>
      <c r="E28" s="44"/>
      <c r="F28" s="48"/>
      <c r="G28" s="46"/>
      <c r="H28" s="47"/>
      <c r="I28" s="47"/>
      <c r="J28" s="48"/>
      <c r="K28" s="48"/>
      <c r="L28" s="48"/>
      <c r="M28" s="48"/>
      <c r="N28" s="132">
        <v>833</v>
      </c>
      <c r="O28" s="48"/>
      <c r="P28" s="48"/>
      <c r="Q28" s="48"/>
      <c r="R28" s="48"/>
      <c r="S28" s="48"/>
      <c r="T28" s="48"/>
      <c r="U28" s="48"/>
      <c r="V28" s="8"/>
      <c r="W28" s="133"/>
      <c r="X28" s="48"/>
      <c r="Y28" s="48"/>
      <c r="Z28" s="48"/>
      <c r="AA28" s="48"/>
      <c r="AB28" s="48"/>
      <c r="AC28" s="48"/>
      <c r="AD28" s="134"/>
    </row>
    <row r="29" spans="1:30">
      <c r="A29" s="135">
        <v>2</v>
      </c>
      <c r="B29" s="12" t="s">
        <v>60</v>
      </c>
      <c r="C29" s="99">
        <v>3</v>
      </c>
      <c r="D29" s="60">
        <v>45971</v>
      </c>
      <c r="E29" s="52">
        <v>7.02</v>
      </c>
      <c r="F29" s="52">
        <v>2940</v>
      </c>
      <c r="G29" s="84" t="s">
        <v>53</v>
      </c>
      <c r="H29" s="55" t="s">
        <v>33</v>
      </c>
      <c r="I29" s="55">
        <v>9.5</v>
      </c>
      <c r="J29" s="55">
        <v>580</v>
      </c>
      <c r="K29" s="56" t="s">
        <v>34</v>
      </c>
      <c r="L29" s="56" t="s">
        <v>35</v>
      </c>
      <c r="M29" s="56" t="s">
        <v>35</v>
      </c>
      <c r="N29" s="63">
        <v>790</v>
      </c>
      <c r="O29" s="56" t="s">
        <v>35</v>
      </c>
      <c r="P29" s="56" t="s">
        <v>48</v>
      </c>
      <c r="Q29" s="56" t="s">
        <v>41</v>
      </c>
      <c r="R29" s="56">
        <v>6.4</v>
      </c>
      <c r="S29" s="56" t="s">
        <v>39</v>
      </c>
      <c r="T29" s="56" t="s">
        <v>42</v>
      </c>
      <c r="U29" s="56">
        <v>831</v>
      </c>
      <c r="V29" s="56"/>
      <c r="W29" s="136">
        <v>39.799999999999997</v>
      </c>
      <c r="X29" s="56">
        <v>37.299999999999997</v>
      </c>
      <c r="Y29" s="56">
        <v>10.3</v>
      </c>
      <c r="Z29" s="56">
        <v>70.3</v>
      </c>
      <c r="AA29" s="56">
        <v>3.1</v>
      </c>
      <c r="AB29" s="56">
        <v>500</v>
      </c>
      <c r="AC29" s="56">
        <v>57.1</v>
      </c>
      <c r="AD29" s="137"/>
    </row>
    <row r="30" spans="1:30">
      <c r="A30" s="135">
        <v>2</v>
      </c>
      <c r="B30" s="12" t="s">
        <v>60</v>
      </c>
      <c r="C30" s="99">
        <v>3</v>
      </c>
      <c r="D30" s="60">
        <v>45783</v>
      </c>
      <c r="E30" s="52">
        <v>6.72</v>
      </c>
      <c r="F30" s="52">
        <v>2960</v>
      </c>
      <c r="G30" s="84">
        <v>9.6</v>
      </c>
      <c r="H30" s="55" t="s">
        <v>33</v>
      </c>
      <c r="I30" s="55">
        <v>10.6</v>
      </c>
      <c r="J30" s="55">
        <v>647</v>
      </c>
      <c r="K30" s="56" t="s">
        <v>34</v>
      </c>
      <c r="L30" s="56" t="s">
        <v>35</v>
      </c>
      <c r="M30" s="56" t="s">
        <v>35</v>
      </c>
      <c r="N30" s="63">
        <v>790</v>
      </c>
      <c r="O30" s="56" t="s">
        <v>35</v>
      </c>
      <c r="P30" s="56" t="s">
        <v>37</v>
      </c>
      <c r="Q30" s="56" t="s">
        <v>41</v>
      </c>
      <c r="R30" s="56">
        <v>5.8</v>
      </c>
      <c r="S30" s="56" t="s">
        <v>39</v>
      </c>
      <c r="T30" s="56" t="s">
        <v>42</v>
      </c>
      <c r="U30" s="56">
        <v>810</v>
      </c>
      <c r="V30" s="56"/>
      <c r="W30" s="136" t="s">
        <v>42</v>
      </c>
      <c r="X30" s="56">
        <v>42.3</v>
      </c>
      <c r="Y30" s="56">
        <v>10.4</v>
      </c>
      <c r="Z30" s="56">
        <v>67.099999999999994</v>
      </c>
      <c r="AA30" s="56">
        <v>3</v>
      </c>
      <c r="AB30" s="56">
        <v>484</v>
      </c>
      <c r="AC30" s="56">
        <v>57.7</v>
      </c>
      <c r="AD30" s="137"/>
    </row>
    <row r="31" spans="1:30">
      <c r="A31" s="135">
        <v>2</v>
      </c>
      <c r="B31" s="12" t="s">
        <v>60</v>
      </c>
      <c r="C31" s="99">
        <v>3</v>
      </c>
      <c r="D31" s="60">
        <v>45699</v>
      </c>
      <c r="E31" s="52"/>
      <c r="F31" s="56"/>
      <c r="G31" s="54"/>
      <c r="H31" s="55"/>
      <c r="I31" s="55"/>
      <c r="J31" s="56"/>
      <c r="K31" s="56"/>
      <c r="L31" s="56"/>
      <c r="M31" s="56"/>
      <c r="N31" s="63">
        <v>850</v>
      </c>
      <c r="O31" s="56"/>
      <c r="P31" s="56"/>
      <c r="Q31" s="56"/>
      <c r="R31" s="56"/>
      <c r="S31" s="56"/>
      <c r="T31" s="56"/>
      <c r="U31" s="56"/>
      <c r="V31" s="12"/>
      <c r="W31" s="136"/>
      <c r="X31" s="56"/>
      <c r="Y31" s="56"/>
      <c r="Z31" s="56"/>
      <c r="AA31" s="56"/>
      <c r="AB31" s="56"/>
      <c r="AC31" s="56"/>
      <c r="AD31" s="137"/>
    </row>
    <row r="32" spans="1:30">
      <c r="A32" s="135">
        <v>2</v>
      </c>
      <c r="B32" s="12" t="s">
        <v>60</v>
      </c>
      <c r="C32" s="99">
        <v>3</v>
      </c>
      <c r="D32" s="60">
        <v>45567</v>
      </c>
      <c r="E32" s="52">
        <v>6.31</v>
      </c>
      <c r="F32" s="52">
        <v>3430</v>
      </c>
      <c r="G32" s="84">
        <v>14</v>
      </c>
      <c r="H32" s="55" t="s">
        <v>33</v>
      </c>
      <c r="I32" s="55">
        <v>9.6999999999999993</v>
      </c>
      <c r="J32" s="55">
        <v>592</v>
      </c>
      <c r="K32" s="56" t="s">
        <v>34</v>
      </c>
      <c r="L32" s="56" t="s">
        <v>35</v>
      </c>
      <c r="M32" s="56" t="s">
        <v>35</v>
      </c>
      <c r="N32" s="63">
        <v>1050</v>
      </c>
      <c r="O32" s="56" t="s">
        <v>35</v>
      </c>
      <c r="P32" s="56" t="s">
        <v>37</v>
      </c>
      <c r="Q32" s="56" t="s">
        <v>41</v>
      </c>
      <c r="R32" s="56">
        <v>6.1</v>
      </c>
      <c r="S32" s="56" t="s">
        <v>39</v>
      </c>
      <c r="T32" s="56" t="s">
        <v>42</v>
      </c>
      <c r="U32" s="56">
        <v>827</v>
      </c>
      <c r="V32" s="56"/>
      <c r="W32" s="136" t="s">
        <v>42</v>
      </c>
      <c r="X32" s="56">
        <v>39.799999999999997</v>
      </c>
      <c r="Y32" s="56">
        <v>10.7</v>
      </c>
      <c r="Z32" s="56">
        <v>66.3</v>
      </c>
      <c r="AA32" s="56">
        <v>4</v>
      </c>
      <c r="AB32" s="56">
        <v>494</v>
      </c>
      <c r="AC32" s="56">
        <v>59</v>
      </c>
      <c r="AD32" s="137"/>
    </row>
    <row r="33" spans="1:30">
      <c r="A33" s="135">
        <v>2</v>
      </c>
      <c r="B33" s="12" t="s">
        <v>60</v>
      </c>
      <c r="C33" s="99">
        <v>3</v>
      </c>
      <c r="D33" s="60">
        <v>45482</v>
      </c>
      <c r="E33" s="52">
        <v>6.54</v>
      </c>
      <c r="F33" s="52">
        <v>2990</v>
      </c>
      <c r="G33" s="84">
        <v>19</v>
      </c>
      <c r="H33" s="55" t="s">
        <v>33</v>
      </c>
      <c r="I33" s="55">
        <v>10.7</v>
      </c>
      <c r="J33" s="55">
        <v>653</v>
      </c>
      <c r="K33" s="56" t="s">
        <v>34</v>
      </c>
      <c r="L33" s="56" t="s">
        <v>35</v>
      </c>
      <c r="M33" s="56" t="s">
        <v>35</v>
      </c>
      <c r="N33" s="63">
        <v>810</v>
      </c>
      <c r="O33" s="56" t="s">
        <v>35</v>
      </c>
      <c r="P33" s="56" t="s">
        <v>37</v>
      </c>
      <c r="Q33" s="56" t="s">
        <v>41</v>
      </c>
      <c r="R33" s="56">
        <v>5.9</v>
      </c>
      <c r="S33" s="56" t="s">
        <v>39</v>
      </c>
      <c r="T33" s="56" t="s">
        <v>42</v>
      </c>
      <c r="U33" s="56">
        <v>842</v>
      </c>
      <c r="V33" s="56"/>
      <c r="W33" s="136" t="s">
        <v>46</v>
      </c>
      <c r="X33" s="56">
        <v>41.9</v>
      </c>
      <c r="Y33" s="56">
        <v>11</v>
      </c>
      <c r="Z33" s="56">
        <v>65.900000000000006</v>
      </c>
      <c r="AA33" s="56">
        <v>3</v>
      </c>
      <c r="AB33" s="56">
        <v>504</v>
      </c>
      <c r="AC33" s="56">
        <v>59.2</v>
      </c>
      <c r="AD33" s="137"/>
    </row>
    <row r="34" spans="1:30">
      <c r="A34" s="135">
        <v>2</v>
      </c>
      <c r="B34" s="12" t="s">
        <v>60</v>
      </c>
      <c r="C34" s="99">
        <v>3</v>
      </c>
      <c r="D34" s="60">
        <v>45384</v>
      </c>
      <c r="E34" s="52">
        <v>6.52</v>
      </c>
      <c r="F34" s="52">
        <v>2740</v>
      </c>
      <c r="G34" s="84">
        <v>8.9</v>
      </c>
      <c r="H34" s="55" t="s">
        <v>33</v>
      </c>
      <c r="I34" s="55">
        <v>10.199999999999999</v>
      </c>
      <c r="J34" s="55">
        <v>622</v>
      </c>
      <c r="K34" s="56" t="s">
        <v>34</v>
      </c>
      <c r="L34" s="56" t="s">
        <v>35</v>
      </c>
      <c r="M34" s="56" t="s">
        <v>35</v>
      </c>
      <c r="N34" s="63">
        <v>750</v>
      </c>
      <c r="O34" s="56" t="s">
        <v>35</v>
      </c>
      <c r="P34" s="56" t="s">
        <v>37</v>
      </c>
      <c r="Q34" s="56" t="s">
        <v>41</v>
      </c>
      <c r="R34" s="56">
        <v>5.7</v>
      </c>
      <c r="S34" s="56">
        <v>0.02</v>
      </c>
      <c r="T34" s="56" t="s">
        <v>42</v>
      </c>
      <c r="U34" s="56">
        <v>793</v>
      </c>
      <c r="V34" s="56"/>
      <c r="W34" s="136">
        <v>44.4</v>
      </c>
      <c r="X34" s="56">
        <v>41.4</v>
      </c>
      <c r="Y34" s="56">
        <v>10.5</v>
      </c>
      <c r="Z34" s="56">
        <v>62.5</v>
      </c>
      <c r="AA34" s="56">
        <v>3</v>
      </c>
      <c r="AB34" s="56">
        <v>475</v>
      </c>
      <c r="AC34" s="56">
        <v>55.8</v>
      </c>
      <c r="AD34" s="137"/>
    </row>
    <row r="35" spans="1:30">
      <c r="A35" s="135">
        <v>2</v>
      </c>
      <c r="B35" s="12" t="s">
        <v>60</v>
      </c>
      <c r="C35" s="99">
        <v>3</v>
      </c>
      <c r="D35" s="60">
        <v>45300</v>
      </c>
      <c r="E35" s="52">
        <v>6.21</v>
      </c>
      <c r="F35" s="52">
        <v>3720</v>
      </c>
      <c r="G35" s="84">
        <v>16</v>
      </c>
      <c r="H35" s="55" t="s">
        <v>33</v>
      </c>
      <c r="I35" s="55">
        <v>9.9</v>
      </c>
      <c r="J35" s="55">
        <v>604</v>
      </c>
      <c r="K35" s="56" t="s">
        <v>34</v>
      </c>
      <c r="L35" s="56" t="s">
        <v>35</v>
      </c>
      <c r="M35" s="56" t="s">
        <v>35</v>
      </c>
      <c r="N35" s="63">
        <v>820</v>
      </c>
      <c r="O35" s="56" t="s">
        <v>35</v>
      </c>
      <c r="P35" s="56" t="s">
        <v>37</v>
      </c>
      <c r="Q35" s="56">
        <v>100</v>
      </c>
      <c r="R35" s="56">
        <v>54</v>
      </c>
      <c r="S35" s="56" t="s">
        <v>39</v>
      </c>
      <c r="T35" s="56" t="s">
        <v>42</v>
      </c>
      <c r="U35" s="56">
        <v>777</v>
      </c>
      <c r="V35" s="56"/>
      <c r="W35" s="136">
        <v>41.9</v>
      </c>
      <c r="X35" s="56">
        <v>38.700000000000003</v>
      </c>
      <c r="Y35" s="56">
        <v>10.3</v>
      </c>
      <c r="Z35" s="56">
        <v>61.3</v>
      </c>
      <c r="AA35" s="56">
        <v>2.9</v>
      </c>
      <c r="AB35" s="56">
        <v>467</v>
      </c>
      <c r="AC35" s="56">
        <v>53.7</v>
      </c>
      <c r="AD35" s="137"/>
    </row>
    <row r="36" spans="1:30">
      <c r="A36" s="135">
        <v>2</v>
      </c>
      <c r="B36" s="12" t="s">
        <v>60</v>
      </c>
      <c r="C36" s="99">
        <v>3</v>
      </c>
      <c r="D36" s="60">
        <v>45209</v>
      </c>
      <c r="E36" s="52">
        <v>6.71</v>
      </c>
      <c r="F36" s="52">
        <v>2700</v>
      </c>
      <c r="G36" s="84">
        <v>18</v>
      </c>
      <c r="H36" s="55" t="s">
        <v>33</v>
      </c>
      <c r="I36" s="55">
        <v>10.199999999999999</v>
      </c>
      <c r="J36" s="55">
        <v>622</v>
      </c>
      <c r="K36" s="56" t="s">
        <v>34</v>
      </c>
      <c r="L36" s="56" t="s">
        <v>35</v>
      </c>
      <c r="M36" s="56" t="s">
        <v>35</v>
      </c>
      <c r="N36" s="63">
        <v>720</v>
      </c>
      <c r="O36" s="56" t="s">
        <v>35</v>
      </c>
      <c r="P36" s="56" t="s">
        <v>37</v>
      </c>
      <c r="Q36" s="56" t="s">
        <v>41</v>
      </c>
      <c r="R36" s="56">
        <v>6</v>
      </c>
      <c r="S36" s="56" t="s">
        <v>39</v>
      </c>
      <c r="T36" s="56" t="s">
        <v>42</v>
      </c>
      <c r="U36" s="56">
        <v>756</v>
      </c>
      <c r="V36" s="56"/>
      <c r="W36" s="136">
        <v>45.3</v>
      </c>
      <c r="X36" s="56">
        <v>36.1</v>
      </c>
      <c r="Y36" s="56">
        <v>9.8800000000000008</v>
      </c>
      <c r="Z36" s="56">
        <v>58.5</v>
      </c>
      <c r="AA36" s="56">
        <v>3</v>
      </c>
      <c r="AB36" s="56">
        <v>455</v>
      </c>
      <c r="AC36" s="56">
        <v>51.6</v>
      </c>
      <c r="AD36" s="137"/>
    </row>
    <row r="37" spans="1:30">
      <c r="A37" s="135">
        <v>2</v>
      </c>
      <c r="B37" s="12" t="s">
        <v>60</v>
      </c>
      <c r="C37" s="99">
        <v>3</v>
      </c>
      <c r="D37" s="60">
        <v>45118</v>
      </c>
      <c r="E37" s="52">
        <v>6.66</v>
      </c>
      <c r="F37" s="52">
        <v>2650</v>
      </c>
      <c r="G37" s="84">
        <v>11.5</v>
      </c>
      <c r="H37" s="55" t="s">
        <v>33</v>
      </c>
      <c r="I37" s="55">
        <v>9.8000000000000007</v>
      </c>
      <c r="J37" s="55">
        <v>598</v>
      </c>
      <c r="K37" s="56" t="s">
        <v>34</v>
      </c>
      <c r="L37" s="56" t="s">
        <v>35</v>
      </c>
      <c r="M37" s="56" t="s">
        <v>36</v>
      </c>
      <c r="N37" s="63">
        <v>683</v>
      </c>
      <c r="O37" s="56">
        <v>0.5</v>
      </c>
      <c r="P37" s="56" t="s">
        <v>37</v>
      </c>
      <c r="Q37" s="56">
        <v>100</v>
      </c>
      <c r="R37" s="56">
        <v>5.9</v>
      </c>
      <c r="S37" s="56" t="s">
        <v>39</v>
      </c>
      <c r="T37" s="56" t="s">
        <v>40</v>
      </c>
      <c r="U37" s="56">
        <v>766</v>
      </c>
      <c r="V37" s="56"/>
      <c r="W37" s="136">
        <v>50.5</v>
      </c>
      <c r="X37" s="56">
        <v>36.1</v>
      </c>
      <c r="Y37" s="56">
        <v>9.56</v>
      </c>
      <c r="Z37" s="56">
        <v>57.5</v>
      </c>
      <c r="AA37" s="56">
        <v>4.0999999999999996</v>
      </c>
      <c r="AB37" s="56">
        <v>462</v>
      </c>
      <c r="AC37" s="56">
        <v>51.9</v>
      </c>
      <c r="AD37" s="137"/>
    </row>
    <row r="38" spans="1:30">
      <c r="A38" s="135">
        <v>2</v>
      </c>
      <c r="B38" s="12" t="s">
        <v>60</v>
      </c>
      <c r="C38" s="99">
        <v>3</v>
      </c>
      <c r="D38" s="60">
        <v>45042</v>
      </c>
      <c r="E38" s="52">
        <v>6.55</v>
      </c>
      <c r="F38" s="52">
        <v>2740</v>
      </c>
      <c r="G38" s="84">
        <v>9.8000000000000007</v>
      </c>
      <c r="H38" s="55" t="s">
        <v>33</v>
      </c>
      <c r="I38" s="55">
        <v>9.5</v>
      </c>
      <c r="J38" s="55">
        <v>580</v>
      </c>
      <c r="K38" s="56" t="s">
        <v>34</v>
      </c>
      <c r="L38" s="56" t="s">
        <v>35</v>
      </c>
      <c r="M38" s="56" t="s">
        <v>35</v>
      </c>
      <c r="N38" s="63">
        <v>640</v>
      </c>
      <c r="O38" s="56" t="s">
        <v>35</v>
      </c>
      <c r="P38" s="56" t="s">
        <v>37</v>
      </c>
      <c r="Q38" s="56" t="s">
        <v>41</v>
      </c>
      <c r="R38" s="56">
        <v>5.7</v>
      </c>
      <c r="S38" s="56" t="s">
        <v>39</v>
      </c>
      <c r="T38" s="56" t="s">
        <v>42</v>
      </c>
      <c r="U38" s="56">
        <v>742</v>
      </c>
      <c r="V38" s="56"/>
      <c r="W38" s="136">
        <v>45.1</v>
      </c>
      <c r="X38" s="56">
        <v>34.4</v>
      </c>
      <c r="Y38" s="56">
        <v>9.59</v>
      </c>
      <c r="Z38" s="56">
        <v>56.7</v>
      </c>
      <c r="AA38" s="56">
        <v>3</v>
      </c>
      <c r="AB38" s="56">
        <v>445</v>
      </c>
      <c r="AC38" s="56">
        <v>51.9</v>
      </c>
      <c r="AD38" s="137"/>
    </row>
    <row r="39" spans="1:30">
      <c r="A39" s="135">
        <v>2</v>
      </c>
      <c r="B39" s="12" t="s">
        <v>60</v>
      </c>
      <c r="C39" s="99">
        <v>3</v>
      </c>
      <c r="D39" s="60">
        <v>44950</v>
      </c>
      <c r="E39" s="52">
        <v>6.73</v>
      </c>
      <c r="F39" s="52">
        <v>2710</v>
      </c>
      <c r="G39" s="84">
        <v>8.8000000000000007</v>
      </c>
      <c r="H39" s="55" t="s">
        <v>33</v>
      </c>
      <c r="I39" s="55">
        <v>9.1999999999999993</v>
      </c>
      <c r="J39" s="55">
        <v>561</v>
      </c>
      <c r="K39" s="56" t="s">
        <v>34</v>
      </c>
      <c r="L39" s="56" t="s">
        <v>35</v>
      </c>
      <c r="M39" s="56" t="s">
        <v>35</v>
      </c>
      <c r="N39" s="63">
        <v>650</v>
      </c>
      <c r="O39" s="56" t="s">
        <v>35</v>
      </c>
      <c r="P39" s="56" t="s">
        <v>37</v>
      </c>
      <c r="Q39" s="56" t="s">
        <v>41</v>
      </c>
      <c r="R39" s="56">
        <v>5.8</v>
      </c>
      <c r="S39" s="56" t="s">
        <v>39</v>
      </c>
      <c r="T39" s="56" t="s">
        <v>42</v>
      </c>
      <c r="U39" s="56">
        <v>723</v>
      </c>
      <c r="V39" s="56"/>
      <c r="W39" s="136">
        <v>36.200000000000003</v>
      </c>
      <c r="X39" s="56">
        <v>31.2</v>
      </c>
      <c r="Y39" s="56">
        <v>9.07</v>
      </c>
      <c r="Z39" s="56">
        <v>55.1</v>
      </c>
      <c r="AA39" s="56">
        <v>2.7</v>
      </c>
      <c r="AB39" s="56">
        <v>435</v>
      </c>
      <c r="AC39" s="56">
        <v>49.6</v>
      </c>
      <c r="AD39" s="137"/>
    </row>
    <row r="40" spans="1:30">
      <c r="A40" s="135">
        <v>2</v>
      </c>
      <c r="B40" s="12" t="s">
        <v>60</v>
      </c>
      <c r="C40" s="99">
        <v>3</v>
      </c>
      <c r="D40" s="60">
        <v>44852</v>
      </c>
      <c r="E40" s="52">
        <v>6.73</v>
      </c>
      <c r="F40" s="56">
        <v>2410</v>
      </c>
      <c r="G40" s="54"/>
      <c r="H40" s="55"/>
      <c r="I40" s="55"/>
      <c r="J40" s="56"/>
      <c r="K40" s="56"/>
      <c r="L40" s="53"/>
      <c r="M40" s="56" t="s">
        <v>36</v>
      </c>
      <c r="N40" s="63">
        <v>577</v>
      </c>
      <c r="O40" s="56"/>
      <c r="P40" s="56" t="s">
        <v>37</v>
      </c>
      <c r="Q40" s="56">
        <v>110</v>
      </c>
      <c r="R40" s="56">
        <v>5.0999999999999996</v>
      </c>
      <c r="S40" s="56" t="s">
        <v>39</v>
      </c>
      <c r="T40" s="56" t="s">
        <v>40</v>
      </c>
      <c r="U40" s="56"/>
      <c r="V40" s="56"/>
      <c r="W40" s="136">
        <v>3.4</v>
      </c>
      <c r="X40" s="53"/>
      <c r="Y40" s="53"/>
      <c r="Z40" s="53"/>
      <c r="AA40" s="53"/>
      <c r="AB40" s="53"/>
      <c r="AC40" s="53"/>
      <c r="AD40" s="138">
        <v>36</v>
      </c>
    </row>
    <row r="41" spans="1:30">
      <c r="A41" s="135">
        <v>2</v>
      </c>
      <c r="B41" s="12" t="s">
        <v>60</v>
      </c>
      <c r="C41" s="99">
        <v>3</v>
      </c>
      <c r="D41" s="60">
        <v>44747</v>
      </c>
      <c r="E41" s="52">
        <v>6.88</v>
      </c>
      <c r="F41" s="56">
        <v>2130</v>
      </c>
      <c r="G41" s="54">
        <v>5.9</v>
      </c>
      <c r="H41" s="55" t="s">
        <v>33</v>
      </c>
      <c r="I41" s="55">
        <v>8.6</v>
      </c>
      <c r="J41" s="56">
        <v>525</v>
      </c>
      <c r="K41" s="56" t="s">
        <v>34</v>
      </c>
      <c r="L41" s="56" t="s">
        <v>35</v>
      </c>
      <c r="M41" s="56" t="s">
        <v>36</v>
      </c>
      <c r="N41" s="63">
        <v>509</v>
      </c>
      <c r="O41" s="56" t="s">
        <v>36</v>
      </c>
      <c r="P41" s="56" t="s">
        <v>37</v>
      </c>
      <c r="Q41" s="56">
        <v>70</v>
      </c>
      <c r="R41" s="56">
        <v>4.7</v>
      </c>
      <c r="S41" s="56" t="s">
        <v>39</v>
      </c>
      <c r="T41" s="56" t="s">
        <v>40</v>
      </c>
      <c r="U41" s="56">
        <v>570</v>
      </c>
      <c r="V41" s="56"/>
      <c r="W41" s="136"/>
      <c r="X41" s="56">
        <v>31.8</v>
      </c>
      <c r="Y41" s="56">
        <v>5.76</v>
      </c>
      <c r="Z41" s="56">
        <v>75.8</v>
      </c>
      <c r="AA41" s="56">
        <v>5.0999999999999996</v>
      </c>
      <c r="AB41" s="56">
        <v>337</v>
      </c>
      <c r="AC41" s="56">
        <v>42.8</v>
      </c>
      <c r="AD41" s="138"/>
    </row>
    <row r="42" spans="1:30">
      <c r="A42" s="135">
        <v>2</v>
      </c>
      <c r="B42" s="12" t="s">
        <v>60</v>
      </c>
      <c r="C42" s="99">
        <v>3</v>
      </c>
      <c r="D42" s="60">
        <v>44676</v>
      </c>
      <c r="E42" s="52">
        <v>6.84</v>
      </c>
      <c r="F42" s="56">
        <v>2120</v>
      </c>
      <c r="G42" s="54" t="s">
        <v>36</v>
      </c>
      <c r="H42" s="55" t="s">
        <v>33</v>
      </c>
      <c r="I42" s="55">
        <v>8.5</v>
      </c>
      <c r="J42" s="56">
        <v>519</v>
      </c>
      <c r="K42" s="56" t="s">
        <v>34</v>
      </c>
      <c r="L42" s="56" t="s">
        <v>35</v>
      </c>
      <c r="M42" s="56" t="s">
        <v>36</v>
      </c>
      <c r="N42" s="63">
        <v>569</v>
      </c>
      <c r="O42" s="56" t="s">
        <v>36</v>
      </c>
      <c r="P42" s="56" t="s">
        <v>37</v>
      </c>
      <c r="Q42" s="56">
        <v>70</v>
      </c>
      <c r="R42" s="56">
        <v>4.5999999999999996</v>
      </c>
      <c r="S42" s="56" t="s">
        <v>39</v>
      </c>
      <c r="T42" s="56" t="s">
        <v>40</v>
      </c>
      <c r="U42" s="56">
        <v>565</v>
      </c>
      <c r="V42" s="56"/>
      <c r="W42" s="136"/>
      <c r="X42" s="56">
        <v>29.8</v>
      </c>
      <c r="Y42" s="56">
        <v>6.32</v>
      </c>
      <c r="Z42" s="56">
        <v>60.6</v>
      </c>
      <c r="AA42" s="56">
        <v>4</v>
      </c>
      <c r="AB42" s="56">
        <v>338</v>
      </c>
      <c r="AC42" s="56">
        <v>39.9</v>
      </c>
      <c r="AD42" s="138"/>
    </row>
    <row r="43" spans="1:30">
      <c r="A43" s="135">
        <v>2</v>
      </c>
      <c r="B43" s="12" t="s">
        <v>60</v>
      </c>
      <c r="C43" s="99">
        <v>3</v>
      </c>
      <c r="D43" s="60">
        <v>44585</v>
      </c>
      <c r="E43" s="52">
        <v>6.82</v>
      </c>
      <c r="F43" s="56">
        <v>2030</v>
      </c>
      <c r="G43" s="54">
        <v>6.5</v>
      </c>
      <c r="H43" s="55" t="s">
        <v>33</v>
      </c>
      <c r="I43" s="55">
        <v>8.5</v>
      </c>
      <c r="J43" s="56">
        <v>519</v>
      </c>
      <c r="K43" s="56" t="s">
        <v>34</v>
      </c>
      <c r="L43" s="56" t="s">
        <v>35</v>
      </c>
      <c r="M43" s="56" t="s">
        <v>36</v>
      </c>
      <c r="N43" s="63">
        <v>497</v>
      </c>
      <c r="O43" s="56">
        <v>0.5</v>
      </c>
      <c r="P43" s="56" t="s">
        <v>37</v>
      </c>
      <c r="Q43" s="56">
        <v>60</v>
      </c>
      <c r="R43" s="56">
        <v>4.7</v>
      </c>
      <c r="S43" s="56">
        <v>0.01</v>
      </c>
      <c r="T43" s="56" t="s">
        <v>40</v>
      </c>
      <c r="U43" s="56">
        <v>583</v>
      </c>
      <c r="V43" s="56"/>
      <c r="W43" s="136"/>
      <c r="X43" s="56">
        <v>29.4</v>
      </c>
      <c r="Y43" s="56">
        <v>6.47</v>
      </c>
      <c r="Z43" s="56">
        <v>55.3</v>
      </c>
      <c r="AA43" s="56">
        <v>3.3</v>
      </c>
      <c r="AB43" s="56">
        <v>351</v>
      </c>
      <c r="AC43" s="56">
        <v>39.700000000000003</v>
      </c>
      <c r="AD43" s="138"/>
    </row>
    <row r="44" spans="1:30">
      <c r="A44" s="135">
        <v>2</v>
      </c>
      <c r="B44" s="12" t="s">
        <v>60</v>
      </c>
      <c r="C44" s="99">
        <v>3</v>
      </c>
      <c r="D44" s="60">
        <v>44489</v>
      </c>
      <c r="E44" s="52">
        <v>6.91</v>
      </c>
      <c r="F44" s="56">
        <v>2000</v>
      </c>
      <c r="G44" s="54">
        <v>6.1</v>
      </c>
      <c r="H44" s="55" t="s">
        <v>33</v>
      </c>
      <c r="I44" s="55">
        <v>7.8</v>
      </c>
      <c r="J44" s="56">
        <v>476</v>
      </c>
      <c r="K44" s="56" t="s">
        <v>34</v>
      </c>
      <c r="L44" s="56" t="s">
        <v>35</v>
      </c>
      <c r="M44" s="56" t="s">
        <v>36</v>
      </c>
      <c r="N44" s="63">
        <v>484</v>
      </c>
      <c r="O44" s="56" t="s">
        <v>36</v>
      </c>
      <c r="P44" s="56" t="s">
        <v>37</v>
      </c>
      <c r="Q44" s="56">
        <v>60</v>
      </c>
      <c r="R44" s="56">
        <v>4.8</v>
      </c>
      <c r="S44" s="56" t="s">
        <v>39</v>
      </c>
      <c r="T44" s="56" t="s">
        <v>40</v>
      </c>
      <c r="U44" s="56">
        <v>576</v>
      </c>
      <c r="V44" s="56"/>
      <c r="W44" s="136"/>
      <c r="X44" s="56">
        <v>29.4</v>
      </c>
      <c r="Y44" s="56">
        <v>6.78</v>
      </c>
      <c r="Z44" s="56">
        <v>50.7</v>
      </c>
      <c r="AA44" s="56">
        <v>2.8</v>
      </c>
      <c r="AB44" s="56">
        <v>346</v>
      </c>
      <c r="AC44" s="56">
        <v>39.700000000000003</v>
      </c>
      <c r="AD44" s="138"/>
    </row>
    <row r="45" spans="1:30">
      <c r="A45" s="135">
        <v>2</v>
      </c>
      <c r="B45" s="12" t="s">
        <v>60</v>
      </c>
      <c r="C45" s="99">
        <v>3</v>
      </c>
      <c r="D45" s="60">
        <v>44406</v>
      </c>
      <c r="E45" s="52">
        <v>6.81</v>
      </c>
      <c r="F45" s="56">
        <v>2110</v>
      </c>
      <c r="G45" s="54">
        <v>6.2</v>
      </c>
      <c r="H45" s="55" t="s">
        <v>33</v>
      </c>
      <c r="I45" s="55">
        <v>8.1</v>
      </c>
      <c r="J45" s="56">
        <v>494</v>
      </c>
      <c r="K45" s="56" t="s">
        <v>34</v>
      </c>
      <c r="L45" s="56" t="s">
        <v>35</v>
      </c>
      <c r="M45" s="56" t="s">
        <v>36</v>
      </c>
      <c r="N45" s="63">
        <v>508</v>
      </c>
      <c r="O45" s="56">
        <v>0.5</v>
      </c>
      <c r="P45" s="56" t="s">
        <v>37</v>
      </c>
      <c r="Q45" s="56">
        <v>70</v>
      </c>
      <c r="R45" s="56">
        <v>5.05</v>
      </c>
      <c r="S45" s="56" t="s">
        <v>39</v>
      </c>
      <c r="T45" s="56" t="s">
        <v>40</v>
      </c>
      <c r="U45" s="56">
        <v>579</v>
      </c>
      <c r="V45" s="56"/>
      <c r="W45" s="136"/>
      <c r="X45" s="56">
        <v>28.1</v>
      </c>
      <c r="Y45" s="56">
        <v>6.51</v>
      </c>
      <c r="Z45" s="56">
        <v>49.2</v>
      </c>
      <c r="AA45" s="56">
        <v>2.2000000000000002</v>
      </c>
      <c r="AB45" s="56">
        <v>351</v>
      </c>
      <c r="AC45" s="56">
        <v>38.200000000000003</v>
      </c>
      <c r="AD45" s="138"/>
    </row>
    <row r="46" spans="1:30">
      <c r="A46" s="11">
        <v>2</v>
      </c>
      <c r="B46" s="12" t="s">
        <v>60</v>
      </c>
      <c r="C46" s="13">
        <v>3</v>
      </c>
      <c r="D46" s="60">
        <v>44313</v>
      </c>
      <c r="E46" s="52"/>
      <c r="F46" s="56"/>
      <c r="G46" s="140"/>
      <c r="H46" s="139"/>
      <c r="I46" s="89"/>
      <c r="J46" s="89"/>
      <c r="K46" s="89"/>
      <c r="L46" s="88"/>
      <c r="M46" s="56"/>
      <c r="N46" s="63">
        <v>518</v>
      </c>
      <c r="O46" s="89"/>
      <c r="P46" s="56"/>
      <c r="Q46" s="56"/>
      <c r="R46" s="56"/>
      <c r="S46" s="56"/>
      <c r="T46" s="56"/>
      <c r="U46" s="89"/>
      <c r="V46" s="89"/>
      <c r="W46" s="136"/>
      <c r="X46" s="88"/>
      <c r="Y46" s="88"/>
      <c r="Z46" s="89"/>
      <c r="AA46" s="139"/>
      <c r="AB46" s="89"/>
      <c r="AC46" s="89"/>
      <c r="AD46" s="141"/>
    </row>
    <row r="47" spans="1:30">
      <c r="A47" s="11">
        <v>2</v>
      </c>
      <c r="B47" s="12" t="s">
        <v>60</v>
      </c>
      <c r="C47" s="13">
        <v>3</v>
      </c>
      <c r="D47" s="60">
        <v>44284</v>
      </c>
      <c r="E47" s="52">
        <v>6.81</v>
      </c>
      <c r="F47" s="56">
        <v>2110</v>
      </c>
      <c r="G47" s="54">
        <v>6.2</v>
      </c>
      <c r="H47" s="55" t="s">
        <v>33</v>
      </c>
      <c r="I47" s="55">
        <v>8.1</v>
      </c>
      <c r="J47" s="56">
        <v>494</v>
      </c>
      <c r="K47" s="56" t="s">
        <v>34</v>
      </c>
      <c r="L47" s="56" t="s">
        <v>35</v>
      </c>
      <c r="M47" s="56" t="s">
        <v>36</v>
      </c>
      <c r="N47" s="63">
        <v>508</v>
      </c>
      <c r="O47" s="56">
        <v>0.5</v>
      </c>
      <c r="P47" s="56" t="s">
        <v>37</v>
      </c>
      <c r="Q47" s="56">
        <v>70</v>
      </c>
      <c r="R47" s="56">
        <v>5.05</v>
      </c>
      <c r="S47" s="56" t="s">
        <v>39</v>
      </c>
      <c r="T47" s="56" t="s">
        <v>40</v>
      </c>
      <c r="U47" s="56">
        <v>579</v>
      </c>
      <c r="V47" s="56"/>
      <c r="W47" s="136"/>
      <c r="X47" s="56">
        <v>28.1</v>
      </c>
      <c r="Y47" s="56">
        <v>6.51</v>
      </c>
      <c r="Z47" s="56">
        <v>49.2</v>
      </c>
      <c r="AA47" s="56">
        <v>2.2000000000000002</v>
      </c>
      <c r="AB47" s="56">
        <v>351</v>
      </c>
      <c r="AC47" s="56">
        <v>38.200000000000003</v>
      </c>
      <c r="AD47" s="141"/>
    </row>
    <row r="48" spans="1:30">
      <c r="A48" s="11">
        <v>2</v>
      </c>
      <c r="B48" s="12" t="s">
        <v>60</v>
      </c>
      <c r="C48" s="13">
        <v>3</v>
      </c>
      <c r="D48" s="60">
        <v>44250</v>
      </c>
      <c r="E48" s="52">
        <v>6.91</v>
      </c>
      <c r="F48" s="56">
        <v>2000</v>
      </c>
      <c r="G48" s="54">
        <v>6.1</v>
      </c>
      <c r="H48" s="55" t="s">
        <v>33</v>
      </c>
      <c r="I48" s="55">
        <v>7.8</v>
      </c>
      <c r="J48" s="56">
        <v>476</v>
      </c>
      <c r="K48" s="56" t="s">
        <v>34</v>
      </c>
      <c r="L48" s="56" t="s">
        <v>35</v>
      </c>
      <c r="M48" s="56" t="s">
        <v>36</v>
      </c>
      <c r="N48" s="63">
        <v>484</v>
      </c>
      <c r="O48" s="56" t="s">
        <v>36</v>
      </c>
      <c r="P48" s="56" t="s">
        <v>37</v>
      </c>
      <c r="Q48" s="56">
        <v>60</v>
      </c>
      <c r="R48" s="56">
        <v>4.8</v>
      </c>
      <c r="S48" s="56" t="s">
        <v>39</v>
      </c>
      <c r="T48" s="56" t="s">
        <v>40</v>
      </c>
      <c r="U48" s="56">
        <v>576</v>
      </c>
      <c r="V48" s="56"/>
      <c r="W48" s="136"/>
      <c r="X48" s="56">
        <v>29.4</v>
      </c>
      <c r="Y48" s="56">
        <v>6.78</v>
      </c>
      <c r="Z48" s="56">
        <v>50.7</v>
      </c>
      <c r="AA48" s="56">
        <v>2.8</v>
      </c>
      <c r="AB48" s="56">
        <v>346</v>
      </c>
      <c r="AC48" s="56">
        <v>39.700000000000003</v>
      </c>
      <c r="AD48" s="141"/>
    </row>
    <row r="49" spans="1:30">
      <c r="A49" s="11">
        <v>2</v>
      </c>
      <c r="B49" s="12" t="s">
        <v>60</v>
      </c>
      <c r="C49" s="13">
        <v>3</v>
      </c>
      <c r="D49" s="60">
        <v>44236</v>
      </c>
      <c r="E49" s="52">
        <v>6.82</v>
      </c>
      <c r="F49" s="56">
        <v>2030</v>
      </c>
      <c r="G49" s="54">
        <v>6.5</v>
      </c>
      <c r="H49" s="55" t="s">
        <v>33</v>
      </c>
      <c r="I49" s="55">
        <v>8.5</v>
      </c>
      <c r="J49" s="56">
        <v>519</v>
      </c>
      <c r="K49" s="56" t="s">
        <v>34</v>
      </c>
      <c r="L49" s="56" t="s">
        <v>35</v>
      </c>
      <c r="M49" s="56" t="s">
        <v>36</v>
      </c>
      <c r="N49" s="63">
        <v>497</v>
      </c>
      <c r="O49" s="56">
        <v>0.5</v>
      </c>
      <c r="P49" s="56" t="s">
        <v>37</v>
      </c>
      <c r="Q49" s="56">
        <v>60</v>
      </c>
      <c r="R49" s="56">
        <v>4.7</v>
      </c>
      <c r="S49" s="56">
        <v>0.01</v>
      </c>
      <c r="T49" s="56" t="s">
        <v>40</v>
      </c>
      <c r="U49" s="56">
        <v>583</v>
      </c>
      <c r="V49" s="89"/>
      <c r="W49" s="136"/>
      <c r="X49" s="56">
        <v>29.4</v>
      </c>
      <c r="Y49" s="56">
        <v>6.47</v>
      </c>
      <c r="Z49" s="56">
        <v>55.3</v>
      </c>
      <c r="AA49" s="56">
        <v>3.3</v>
      </c>
      <c r="AB49" s="56">
        <v>351</v>
      </c>
      <c r="AC49" s="56">
        <v>39.700000000000003</v>
      </c>
      <c r="AD49" s="141"/>
    </row>
    <row r="50" spans="1:30">
      <c r="A50" s="11">
        <v>2</v>
      </c>
      <c r="B50" s="12" t="s">
        <v>60</v>
      </c>
      <c r="C50" s="13">
        <v>3</v>
      </c>
      <c r="D50" s="60">
        <v>44229</v>
      </c>
      <c r="E50" s="52">
        <v>6.84</v>
      </c>
      <c r="F50" s="56">
        <v>2120</v>
      </c>
      <c r="G50" s="54" t="s">
        <v>36</v>
      </c>
      <c r="H50" s="55" t="s">
        <v>33</v>
      </c>
      <c r="I50" s="55">
        <v>8.5</v>
      </c>
      <c r="J50" s="56">
        <v>519</v>
      </c>
      <c r="K50" s="56" t="s">
        <v>34</v>
      </c>
      <c r="L50" s="56" t="s">
        <v>35</v>
      </c>
      <c r="M50" s="56" t="s">
        <v>36</v>
      </c>
      <c r="N50" s="63">
        <v>569</v>
      </c>
      <c r="O50" s="56" t="s">
        <v>36</v>
      </c>
      <c r="P50" s="56" t="s">
        <v>37</v>
      </c>
      <c r="Q50" s="56">
        <v>70</v>
      </c>
      <c r="R50" s="56">
        <v>4.5999999999999996</v>
      </c>
      <c r="S50" s="56" t="s">
        <v>39</v>
      </c>
      <c r="T50" s="56" t="s">
        <v>40</v>
      </c>
      <c r="U50" s="56">
        <v>565</v>
      </c>
      <c r="V50" s="89"/>
      <c r="W50" s="136"/>
      <c r="X50" s="56">
        <v>29.8</v>
      </c>
      <c r="Y50" s="56">
        <v>6.32</v>
      </c>
      <c r="Z50" s="56">
        <v>60.6</v>
      </c>
      <c r="AA50" s="56">
        <v>4</v>
      </c>
      <c r="AB50" s="56">
        <v>338</v>
      </c>
      <c r="AC50" s="56">
        <v>39.9</v>
      </c>
      <c r="AD50" s="141"/>
    </row>
    <row r="51" spans="1:30">
      <c r="A51" s="11">
        <v>2</v>
      </c>
      <c r="B51" s="12" t="s">
        <v>60</v>
      </c>
      <c r="C51" s="13">
        <v>3</v>
      </c>
      <c r="D51" s="60">
        <v>44224</v>
      </c>
      <c r="E51" s="52">
        <v>6.88</v>
      </c>
      <c r="F51" s="56">
        <v>2130</v>
      </c>
      <c r="G51" s="54">
        <v>5.9</v>
      </c>
      <c r="H51" s="55" t="s">
        <v>33</v>
      </c>
      <c r="I51" s="55">
        <v>8.6</v>
      </c>
      <c r="J51" s="56">
        <v>525</v>
      </c>
      <c r="K51" s="56" t="s">
        <v>34</v>
      </c>
      <c r="L51" s="56" t="s">
        <v>35</v>
      </c>
      <c r="M51" s="56" t="s">
        <v>36</v>
      </c>
      <c r="N51" s="63">
        <v>509</v>
      </c>
      <c r="O51" s="56" t="s">
        <v>36</v>
      </c>
      <c r="P51" s="56" t="s">
        <v>37</v>
      </c>
      <c r="Q51" s="56">
        <v>70</v>
      </c>
      <c r="R51" s="56">
        <v>4.7</v>
      </c>
      <c r="S51" s="56" t="s">
        <v>39</v>
      </c>
      <c r="T51" s="56" t="s">
        <v>40</v>
      </c>
      <c r="U51" s="56">
        <v>570</v>
      </c>
      <c r="V51" s="89"/>
      <c r="W51" s="136"/>
      <c r="X51" s="56">
        <v>31.8</v>
      </c>
      <c r="Y51" s="56">
        <v>5.76</v>
      </c>
      <c r="Z51" s="56">
        <v>75.8</v>
      </c>
      <c r="AA51" s="56">
        <v>5.0999999999999996</v>
      </c>
      <c r="AB51" s="56">
        <v>337</v>
      </c>
      <c r="AC51" s="56">
        <v>42.8</v>
      </c>
      <c r="AD51" s="141"/>
    </row>
    <row r="52" spans="1:30">
      <c r="A52" s="11">
        <v>2</v>
      </c>
      <c r="B52" s="12" t="s">
        <v>60</v>
      </c>
      <c r="C52" s="13">
        <v>3</v>
      </c>
      <c r="D52" s="60">
        <v>44160</v>
      </c>
      <c r="E52" s="52">
        <v>7.2</v>
      </c>
      <c r="F52" s="56">
        <v>1800</v>
      </c>
      <c r="G52" s="140"/>
      <c r="H52" s="139"/>
      <c r="I52" s="89"/>
      <c r="J52" s="89"/>
      <c r="K52" s="89"/>
      <c r="L52" s="88"/>
      <c r="M52" s="56"/>
      <c r="N52" s="63"/>
      <c r="O52" s="89"/>
      <c r="P52" s="56"/>
      <c r="Q52" s="56"/>
      <c r="R52" s="56"/>
      <c r="S52" s="56"/>
      <c r="T52" s="56"/>
      <c r="U52" s="89"/>
      <c r="V52" s="89"/>
      <c r="W52" s="136"/>
      <c r="X52" s="88"/>
      <c r="Y52" s="88"/>
      <c r="Z52" s="89"/>
      <c r="AA52" s="139"/>
      <c r="AB52" s="89"/>
      <c r="AC52" s="89"/>
      <c r="AD52" s="141"/>
    </row>
    <row r="53" spans="1:30" ht="15" thickBot="1">
      <c r="A53" s="24">
        <v>2</v>
      </c>
      <c r="B53" s="25" t="s">
        <v>60</v>
      </c>
      <c r="C53" s="26">
        <v>3</v>
      </c>
      <c r="D53" s="142">
        <v>44160</v>
      </c>
      <c r="E53" s="144">
        <v>6.73</v>
      </c>
      <c r="F53" s="145">
        <v>2410</v>
      </c>
      <c r="G53" s="146"/>
      <c r="H53" s="143"/>
      <c r="I53" s="103"/>
      <c r="J53" s="103"/>
      <c r="K53" s="103"/>
      <c r="L53" s="102"/>
      <c r="M53" s="145" t="s">
        <v>36</v>
      </c>
      <c r="N53" s="147">
        <v>577</v>
      </c>
      <c r="O53" s="103"/>
      <c r="P53" s="145" t="s">
        <v>37</v>
      </c>
      <c r="Q53" s="145">
        <v>110</v>
      </c>
      <c r="R53" s="145">
        <v>5.0999999999999996</v>
      </c>
      <c r="S53" s="145" t="s">
        <v>39</v>
      </c>
      <c r="T53" s="145" t="s">
        <v>40</v>
      </c>
      <c r="U53" s="103"/>
      <c r="V53" s="103"/>
      <c r="W53" s="148">
        <v>3.4</v>
      </c>
      <c r="X53" s="102"/>
      <c r="Y53" s="102"/>
      <c r="Z53" s="103"/>
      <c r="AA53" s="143"/>
      <c r="AB53" s="103"/>
      <c r="AC53" s="103"/>
      <c r="AD53" s="149">
        <v>36</v>
      </c>
    </row>
    <row r="54" spans="1:30">
      <c r="A54" s="150">
        <v>2</v>
      </c>
      <c r="B54" s="8" t="s">
        <v>60</v>
      </c>
      <c r="C54" s="9">
        <v>4</v>
      </c>
      <c r="D54" s="131">
        <v>46085</v>
      </c>
      <c r="E54" s="44"/>
      <c r="F54" s="48"/>
      <c r="G54" s="153"/>
      <c r="H54" s="151"/>
      <c r="I54" s="152"/>
      <c r="J54" s="152"/>
      <c r="K54" s="152"/>
      <c r="L54" s="154"/>
      <c r="M54" s="48"/>
      <c r="N54" s="132">
        <v>1040</v>
      </c>
      <c r="O54" s="152"/>
      <c r="P54" s="48"/>
      <c r="Q54" s="48"/>
      <c r="R54" s="48"/>
      <c r="S54" s="48"/>
      <c r="T54" s="48"/>
      <c r="U54" s="152"/>
      <c r="V54" s="152"/>
      <c r="W54" s="133"/>
      <c r="X54" s="154"/>
      <c r="Y54" s="154"/>
      <c r="Z54" s="152"/>
      <c r="AA54" s="151"/>
      <c r="AB54" s="152"/>
      <c r="AC54" s="152"/>
      <c r="AD54" s="155"/>
    </row>
    <row r="55" spans="1:30">
      <c r="A55" s="34">
        <v>2</v>
      </c>
      <c r="B55" s="12" t="s">
        <v>60</v>
      </c>
      <c r="C55" s="13">
        <v>4</v>
      </c>
      <c r="D55" s="60">
        <v>45971</v>
      </c>
      <c r="E55" s="52">
        <v>6.67</v>
      </c>
      <c r="F55" s="56">
        <v>4260</v>
      </c>
      <c r="G55" s="54">
        <v>16.100000000000001</v>
      </c>
      <c r="H55" s="55" t="s">
        <v>33</v>
      </c>
      <c r="I55" s="55">
        <v>13.5</v>
      </c>
      <c r="J55" s="56">
        <v>824</v>
      </c>
      <c r="K55" s="56" t="s">
        <v>34</v>
      </c>
      <c r="L55" s="56" t="s">
        <v>35</v>
      </c>
      <c r="M55" s="56" t="s">
        <v>35</v>
      </c>
      <c r="N55" s="63">
        <v>1040</v>
      </c>
      <c r="O55" s="56" t="s">
        <v>35</v>
      </c>
      <c r="P55" s="56" t="s">
        <v>48</v>
      </c>
      <c r="Q55" s="56">
        <v>100</v>
      </c>
      <c r="R55" s="56">
        <v>7.3</v>
      </c>
      <c r="S55" s="56" t="s">
        <v>33</v>
      </c>
      <c r="T55" s="56" t="s">
        <v>42</v>
      </c>
      <c r="U55" s="56">
        <v>1260</v>
      </c>
      <c r="V55" s="56"/>
      <c r="W55" s="136">
        <v>256</v>
      </c>
      <c r="X55" s="56">
        <v>110</v>
      </c>
      <c r="Y55" s="56">
        <v>13.3</v>
      </c>
      <c r="Z55" s="56">
        <v>95</v>
      </c>
      <c r="AA55" s="56">
        <v>3.4</v>
      </c>
      <c r="AB55" s="56">
        <v>749</v>
      </c>
      <c r="AC55" s="56">
        <v>93.5</v>
      </c>
      <c r="AD55" s="141"/>
    </row>
    <row r="56" spans="1:30">
      <c r="A56" s="34">
        <v>2</v>
      </c>
      <c r="B56" s="12" t="s">
        <v>60</v>
      </c>
      <c r="C56" s="13">
        <v>4</v>
      </c>
      <c r="D56" s="60">
        <v>45783</v>
      </c>
      <c r="E56" s="52">
        <v>6.51</v>
      </c>
      <c r="F56" s="56">
        <v>4290</v>
      </c>
      <c r="G56" s="54">
        <v>52</v>
      </c>
      <c r="H56" s="55" t="s">
        <v>33</v>
      </c>
      <c r="I56" s="55">
        <v>16.7</v>
      </c>
      <c r="J56" s="56">
        <v>1020</v>
      </c>
      <c r="K56" s="56" t="s">
        <v>34</v>
      </c>
      <c r="L56" s="56" t="s">
        <v>35</v>
      </c>
      <c r="M56" s="56" t="s">
        <v>35</v>
      </c>
      <c r="N56" s="63">
        <v>1220</v>
      </c>
      <c r="O56" s="56" t="s">
        <v>35</v>
      </c>
      <c r="P56" s="56" t="s">
        <v>37</v>
      </c>
      <c r="Q56" s="56">
        <v>200</v>
      </c>
      <c r="R56" s="56">
        <v>7.1</v>
      </c>
      <c r="S56" s="56" t="s">
        <v>39</v>
      </c>
      <c r="T56" s="56" t="s">
        <v>42</v>
      </c>
      <c r="U56" s="56">
        <v>1290</v>
      </c>
      <c r="V56" s="56"/>
      <c r="W56" s="136">
        <v>50.1</v>
      </c>
      <c r="X56" s="56">
        <v>112</v>
      </c>
      <c r="Y56" s="56">
        <v>13.4</v>
      </c>
      <c r="Z56" s="56">
        <v>98</v>
      </c>
      <c r="AA56" s="56">
        <v>3.5</v>
      </c>
      <c r="AB56" s="56">
        <v>765</v>
      </c>
      <c r="AC56" s="56">
        <v>94.8</v>
      </c>
      <c r="AD56" s="141"/>
    </row>
    <row r="57" spans="1:30">
      <c r="A57" s="34">
        <v>2</v>
      </c>
      <c r="B57" s="12" t="s">
        <v>60</v>
      </c>
      <c r="C57" s="13">
        <v>4</v>
      </c>
      <c r="D57" s="60">
        <v>45699</v>
      </c>
      <c r="E57" s="52"/>
      <c r="F57" s="56"/>
      <c r="G57" s="140"/>
      <c r="H57" s="139"/>
      <c r="I57" s="89"/>
      <c r="J57" s="89"/>
      <c r="K57" s="89"/>
      <c r="L57" s="88"/>
      <c r="M57" s="56"/>
      <c r="N57" s="63">
        <v>1100</v>
      </c>
      <c r="O57" s="89"/>
      <c r="P57" s="56"/>
      <c r="Q57" s="56"/>
      <c r="R57" s="56"/>
      <c r="S57" s="56"/>
      <c r="T57" s="56"/>
      <c r="U57" s="89"/>
      <c r="V57" s="89"/>
      <c r="W57" s="136"/>
      <c r="X57" s="88"/>
      <c r="Y57" s="88"/>
      <c r="Z57" s="89"/>
      <c r="AA57" s="139"/>
      <c r="AB57" s="89"/>
      <c r="AC57" s="89"/>
      <c r="AD57" s="141"/>
    </row>
    <row r="58" spans="1:30">
      <c r="A58" s="34">
        <v>2</v>
      </c>
      <c r="B58" s="12" t="s">
        <v>60</v>
      </c>
      <c r="C58" s="13">
        <v>4</v>
      </c>
      <c r="D58" s="60">
        <v>45567</v>
      </c>
      <c r="E58" s="52">
        <v>6.14</v>
      </c>
      <c r="F58" s="56">
        <v>5220</v>
      </c>
      <c r="G58" s="54">
        <v>16</v>
      </c>
      <c r="H58" s="55">
        <v>17.100000000000001</v>
      </c>
      <c r="I58" s="55">
        <v>17.100000000000001</v>
      </c>
      <c r="J58" s="56" t="s">
        <v>34</v>
      </c>
      <c r="K58" s="56" t="s">
        <v>34</v>
      </c>
      <c r="L58" s="56">
        <v>291</v>
      </c>
      <c r="M58" s="56" t="s">
        <v>35</v>
      </c>
      <c r="N58" s="63">
        <v>1060</v>
      </c>
      <c r="O58" s="56" t="s">
        <v>35</v>
      </c>
      <c r="P58" s="56" t="s">
        <v>37</v>
      </c>
      <c r="Q58" s="56">
        <v>200</v>
      </c>
      <c r="R58" s="56">
        <v>7</v>
      </c>
      <c r="S58" s="56" t="s">
        <v>39</v>
      </c>
      <c r="T58" s="56" t="s">
        <v>42</v>
      </c>
      <c r="U58" s="56">
        <v>1340</v>
      </c>
      <c r="V58" s="56"/>
      <c r="W58" s="136">
        <v>516</v>
      </c>
      <c r="X58" s="56">
        <v>116</v>
      </c>
      <c r="Y58" s="56">
        <v>14.7</v>
      </c>
      <c r="Z58" s="56">
        <v>102</v>
      </c>
      <c r="AA58" s="56">
        <v>3.9</v>
      </c>
      <c r="AB58" s="56">
        <v>792</v>
      </c>
      <c r="AC58" s="56">
        <v>100</v>
      </c>
      <c r="AD58" s="141"/>
    </row>
    <row r="59" spans="1:30">
      <c r="A59" s="34">
        <v>2</v>
      </c>
      <c r="B59" s="12" t="s">
        <v>60</v>
      </c>
      <c r="C59" s="13">
        <v>4</v>
      </c>
      <c r="D59" s="60">
        <v>45482</v>
      </c>
      <c r="E59" s="52">
        <v>6.26</v>
      </c>
      <c r="F59" s="56">
        <v>4770</v>
      </c>
      <c r="G59" s="54">
        <v>55</v>
      </c>
      <c r="H59" s="55" t="s">
        <v>33</v>
      </c>
      <c r="I59" s="55">
        <v>17.8</v>
      </c>
      <c r="J59" s="56">
        <v>1090</v>
      </c>
      <c r="K59" s="56" t="s">
        <v>34</v>
      </c>
      <c r="L59" s="56" t="s">
        <v>35</v>
      </c>
      <c r="M59" s="56" t="s">
        <v>35</v>
      </c>
      <c r="N59" s="63">
        <v>1180</v>
      </c>
      <c r="O59" s="56" t="s">
        <v>35</v>
      </c>
      <c r="P59" s="56" t="s">
        <v>37</v>
      </c>
      <c r="Q59" s="56">
        <v>200</v>
      </c>
      <c r="R59" s="56">
        <v>7.2</v>
      </c>
      <c r="S59" s="56" t="s">
        <v>39</v>
      </c>
      <c r="T59" s="56" t="s">
        <v>42</v>
      </c>
      <c r="U59" s="56">
        <v>1380</v>
      </c>
      <c r="V59" s="56"/>
      <c r="W59" s="136">
        <v>979</v>
      </c>
      <c r="X59" s="56">
        <v>119</v>
      </c>
      <c r="Y59" s="56">
        <v>14.4</v>
      </c>
      <c r="Z59" s="56">
        <v>105</v>
      </c>
      <c r="AA59" s="56">
        <v>3.6</v>
      </c>
      <c r="AB59" s="56">
        <v>815</v>
      </c>
      <c r="AC59" s="56">
        <v>102</v>
      </c>
      <c r="AD59" s="141"/>
    </row>
    <row r="60" spans="1:30">
      <c r="A60" s="34">
        <v>2</v>
      </c>
      <c r="B60" s="12" t="s">
        <v>60</v>
      </c>
      <c r="C60" s="13">
        <v>4</v>
      </c>
      <c r="D60" s="60">
        <v>45384</v>
      </c>
      <c r="E60" s="52">
        <v>6.33</v>
      </c>
      <c r="F60" s="56">
        <v>4380</v>
      </c>
      <c r="G60" s="54">
        <v>17.399999999999999</v>
      </c>
      <c r="H60" s="55" t="s">
        <v>33</v>
      </c>
      <c r="I60" s="55">
        <v>17.399999999999999</v>
      </c>
      <c r="J60" s="56">
        <v>1060</v>
      </c>
      <c r="K60" s="56" t="s">
        <v>34</v>
      </c>
      <c r="L60" s="56" t="s">
        <v>35</v>
      </c>
      <c r="M60" s="56" t="s">
        <v>35</v>
      </c>
      <c r="N60" s="63">
        <v>1190</v>
      </c>
      <c r="O60" s="56" t="s">
        <v>35</v>
      </c>
      <c r="P60" s="56" t="s">
        <v>37</v>
      </c>
      <c r="Q60" s="56">
        <v>100</v>
      </c>
      <c r="R60" s="56">
        <v>6.7</v>
      </c>
      <c r="S60" s="56">
        <v>0.02</v>
      </c>
      <c r="T60" s="56" t="s">
        <v>42</v>
      </c>
      <c r="U60" s="56">
        <v>1390</v>
      </c>
      <c r="V60" s="56"/>
      <c r="W60" s="136">
        <v>667</v>
      </c>
      <c r="X60" s="56">
        <v>127</v>
      </c>
      <c r="Y60" s="56">
        <v>14.5</v>
      </c>
      <c r="Z60" s="56">
        <v>106</v>
      </c>
      <c r="AA60" s="56">
        <v>3.7</v>
      </c>
      <c r="AB60" s="56">
        <v>824</v>
      </c>
      <c r="AC60" s="56">
        <v>103</v>
      </c>
      <c r="AD60" s="141"/>
    </row>
    <row r="61" spans="1:30">
      <c r="A61" s="34">
        <v>2</v>
      </c>
      <c r="B61" s="12" t="s">
        <v>60</v>
      </c>
      <c r="C61" s="13">
        <v>4</v>
      </c>
      <c r="D61" s="60">
        <v>45300</v>
      </c>
      <c r="E61" s="52">
        <v>6.41</v>
      </c>
      <c r="F61" s="56">
        <v>6460</v>
      </c>
      <c r="G61" s="54">
        <v>47</v>
      </c>
      <c r="H61" s="55" t="s">
        <v>33</v>
      </c>
      <c r="I61" s="55">
        <v>19.399999999999999</v>
      </c>
      <c r="J61" s="56">
        <v>1180</v>
      </c>
      <c r="K61" s="56" t="s">
        <v>34</v>
      </c>
      <c r="L61" s="56" t="s">
        <v>35</v>
      </c>
      <c r="M61" s="56" t="s">
        <v>35</v>
      </c>
      <c r="N61" s="63">
        <v>1280</v>
      </c>
      <c r="O61" s="56" t="s">
        <v>35</v>
      </c>
      <c r="P61" s="56" t="s">
        <v>37</v>
      </c>
      <c r="Q61" s="56">
        <v>200</v>
      </c>
      <c r="R61" s="56">
        <v>7.1</v>
      </c>
      <c r="S61" s="56" t="s">
        <v>39</v>
      </c>
      <c r="T61" s="56" t="s">
        <v>42</v>
      </c>
      <c r="U61" s="56">
        <v>1420</v>
      </c>
      <c r="V61" s="56"/>
      <c r="W61" s="136">
        <v>782</v>
      </c>
      <c r="X61" s="56">
        <v>126</v>
      </c>
      <c r="Y61" s="56">
        <v>14.2</v>
      </c>
      <c r="Z61" s="56">
        <v>102</v>
      </c>
      <c r="AA61" s="56">
        <v>3.4</v>
      </c>
      <c r="AB61" s="56">
        <v>855</v>
      </c>
      <c r="AC61" s="56">
        <v>97.3</v>
      </c>
      <c r="AD61" s="141"/>
    </row>
    <row r="62" spans="1:30">
      <c r="A62" s="34">
        <v>2</v>
      </c>
      <c r="B62" s="12" t="s">
        <v>60</v>
      </c>
      <c r="C62" s="13">
        <v>4</v>
      </c>
      <c r="D62" s="60">
        <v>45209</v>
      </c>
      <c r="E62" s="52">
        <v>6.48</v>
      </c>
      <c r="F62" s="56">
        <v>4640</v>
      </c>
      <c r="G62" s="54">
        <v>50</v>
      </c>
      <c r="H62" s="55" t="s">
        <v>33</v>
      </c>
      <c r="I62" s="55">
        <v>18.8</v>
      </c>
      <c r="J62" s="56">
        <v>1150</v>
      </c>
      <c r="K62" s="56" t="s">
        <v>34</v>
      </c>
      <c r="L62" s="56" t="s">
        <v>35</v>
      </c>
      <c r="M62" s="56" t="s">
        <v>35</v>
      </c>
      <c r="N62" s="63">
        <v>1250</v>
      </c>
      <c r="O62" s="56" t="s">
        <v>35</v>
      </c>
      <c r="P62" s="56" t="s">
        <v>37</v>
      </c>
      <c r="Q62" s="56">
        <v>200</v>
      </c>
      <c r="R62" s="56">
        <v>9.8000000000000007</v>
      </c>
      <c r="S62" s="56" t="s">
        <v>39</v>
      </c>
      <c r="T62" s="56" t="s">
        <v>42</v>
      </c>
      <c r="U62" s="56">
        <v>1420</v>
      </c>
      <c r="V62" s="56"/>
      <c r="W62" s="136">
        <v>747</v>
      </c>
      <c r="X62" s="56">
        <v>123</v>
      </c>
      <c r="Y62" s="56">
        <v>15</v>
      </c>
      <c r="Z62" s="56">
        <v>108</v>
      </c>
      <c r="AA62" s="56">
        <v>4</v>
      </c>
      <c r="AB62" s="56">
        <v>844</v>
      </c>
      <c r="AC62" s="56">
        <v>103</v>
      </c>
      <c r="AD62" s="141"/>
    </row>
    <row r="63" spans="1:30">
      <c r="A63" s="34">
        <v>2</v>
      </c>
      <c r="B63" s="12" t="s">
        <v>60</v>
      </c>
      <c r="C63" s="13">
        <v>4</v>
      </c>
      <c r="D63" s="60">
        <v>45118</v>
      </c>
      <c r="E63" s="52">
        <v>6.42</v>
      </c>
      <c r="F63" s="56">
        <v>5020</v>
      </c>
      <c r="G63" s="54">
        <v>53</v>
      </c>
      <c r="H63" s="55" t="s">
        <v>33</v>
      </c>
      <c r="I63" s="55">
        <v>19.8</v>
      </c>
      <c r="J63" s="56">
        <v>1210</v>
      </c>
      <c r="K63" s="56" t="s">
        <v>34</v>
      </c>
      <c r="L63" s="56" t="s">
        <v>35</v>
      </c>
      <c r="M63" s="56" t="s">
        <v>35</v>
      </c>
      <c r="N63" s="63">
        <v>1180</v>
      </c>
      <c r="O63" s="56" t="s">
        <v>35</v>
      </c>
      <c r="P63" s="56" t="s">
        <v>37</v>
      </c>
      <c r="Q63" s="56">
        <v>200</v>
      </c>
      <c r="R63" s="56">
        <v>7.7</v>
      </c>
      <c r="S63" s="56" t="s">
        <v>39</v>
      </c>
      <c r="T63" s="56" t="s">
        <v>42</v>
      </c>
      <c r="U63" s="56">
        <v>1460</v>
      </c>
      <c r="V63" s="56"/>
      <c r="W63" s="136">
        <v>556</v>
      </c>
      <c r="X63" s="56">
        <v>131</v>
      </c>
      <c r="Y63" s="56">
        <v>15.6</v>
      </c>
      <c r="Z63" s="56">
        <v>106</v>
      </c>
      <c r="AA63" s="56">
        <v>6</v>
      </c>
      <c r="AB63" s="56">
        <v>869</v>
      </c>
      <c r="AC63" s="56">
        <v>105</v>
      </c>
      <c r="AD63" s="141"/>
    </row>
    <row r="64" spans="1:30">
      <c r="A64" s="34">
        <v>2</v>
      </c>
      <c r="B64" s="12" t="s">
        <v>60</v>
      </c>
      <c r="C64" s="13">
        <v>4</v>
      </c>
      <c r="D64" s="60">
        <v>45042</v>
      </c>
      <c r="E64" s="52">
        <v>6.29</v>
      </c>
      <c r="F64" s="56">
        <v>5150</v>
      </c>
      <c r="G64" s="54">
        <v>42</v>
      </c>
      <c r="H64" s="55" t="s">
        <v>33</v>
      </c>
      <c r="I64" s="55">
        <v>17.3</v>
      </c>
      <c r="J64" s="56">
        <v>1060</v>
      </c>
      <c r="K64" s="56" t="s">
        <v>34</v>
      </c>
      <c r="L64" s="56" t="s">
        <v>35</v>
      </c>
      <c r="M64" s="56" t="s">
        <v>35</v>
      </c>
      <c r="N64" s="63">
        <v>1210</v>
      </c>
      <c r="O64" s="56">
        <v>3</v>
      </c>
      <c r="P64" s="56" t="s">
        <v>37</v>
      </c>
      <c r="Q64" s="56">
        <v>200</v>
      </c>
      <c r="R64" s="56">
        <v>7</v>
      </c>
      <c r="S64" s="56" t="s">
        <v>39</v>
      </c>
      <c r="T64" s="56" t="s">
        <v>42</v>
      </c>
      <c r="U64" s="56">
        <v>1460</v>
      </c>
      <c r="V64" s="56"/>
      <c r="W64" s="136">
        <v>692</v>
      </c>
      <c r="X64" s="56">
        <v>134</v>
      </c>
      <c r="Y64" s="56">
        <v>15.8</v>
      </c>
      <c r="Z64" s="56">
        <v>109</v>
      </c>
      <c r="AA64" s="56">
        <v>4</v>
      </c>
      <c r="AB64" s="56">
        <v>863</v>
      </c>
      <c r="AC64" s="56">
        <v>109</v>
      </c>
      <c r="AD64" s="141"/>
    </row>
    <row r="65" spans="1:30">
      <c r="A65" s="34">
        <v>2</v>
      </c>
      <c r="B65" s="12" t="s">
        <v>60</v>
      </c>
      <c r="C65" s="13">
        <v>4</v>
      </c>
      <c r="D65" s="60">
        <v>44950</v>
      </c>
      <c r="E65" s="52">
        <v>6.46</v>
      </c>
      <c r="F65" s="56">
        <v>5420</v>
      </c>
      <c r="G65" s="54">
        <v>50</v>
      </c>
      <c r="H65" s="55" t="s">
        <v>33</v>
      </c>
      <c r="I65" s="55">
        <v>18.399999999999999</v>
      </c>
      <c r="J65" s="56">
        <v>1120</v>
      </c>
      <c r="K65" s="56" t="s">
        <v>34</v>
      </c>
      <c r="L65" s="56" t="s">
        <v>35</v>
      </c>
      <c r="M65" s="56" t="s">
        <v>35</v>
      </c>
      <c r="N65" s="63">
        <v>1310</v>
      </c>
      <c r="O65" s="56">
        <v>4</v>
      </c>
      <c r="P65" s="56" t="s">
        <v>37</v>
      </c>
      <c r="Q65" s="56">
        <v>200</v>
      </c>
      <c r="R65" s="56">
        <v>8</v>
      </c>
      <c r="S65" s="56" t="s">
        <v>39</v>
      </c>
      <c r="T65" s="56" t="s">
        <v>42</v>
      </c>
      <c r="U65" s="56">
        <v>1470</v>
      </c>
      <c r="V65" s="56"/>
      <c r="W65" s="136">
        <v>712</v>
      </c>
      <c r="X65" s="56">
        <v>131</v>
      </c>
      <c r="Y65" s="56">
        <v>16.2</v>
      </c>
      <c r="Z65" s="56">
        <v>110</v>
      </c>
      <c r="AA65" s="56">
        <v>3.7</v>
      </c>
      <c r="AB65" s="56">
        <v>872</v>
      </c>
      <c r="AC65" s="56">
        <v>108</v>
      </c>
      <c r="AD65" s="141"/>
    </row>
    <row r="66" spans="1:30">
      <c r="A66" s="34">
        <v>2</v>
      </c>
      <c r="B66" s="12" t="s">
        <v>60</v>
      </c>
      <c r="C66" s="13">
        <v>4</v>
      </c>
      <c r="D66" s="60">
        <v>44852</v>
      </c>
      <c r="E66" s="52">
        <v>6.43</v>
      </c>
      <c r="F66" s="56">
        <v>5000</v>
      </c>
      <c r="G66" s="54">
        <v>45</v>
      </c>
      <c r="H66" s="55" t="s">
        <v>33</v>
      </c>
      <c r="I66" s="55">
        <v>18.3</v>
      </c>
      <c r="J66" s="56">
        <v>1120</v>
      </c>
      <c r="K66" s="56" t="s">
        <v>34</v>
      </c>
      <c r="L66" s="56" t="s">
        <v>35</v>
      </c>
      <c r="M66" s="56" t="s">
        <v>35</v>
      </c>
      <c r="N66" s="63">
        <v>1260</v>
      </c>
      <c r="O66" s="56">
        <v>3</v>
      </c>
      <c r="P66" s="56" t="s">
        <v>37</v>
      </c>
      <c r="Q66" s="56">
        <v>200</v>
      </c>
      <c r="R66" s="56">
        <v>7</v>
      </c>
      <c r="S66" s="56" t="s">
        <v>39</v>
      </c>
      <c r="T66" s="56" t="s">
        <v>42</v>
      </c>
      <c r="U66" s="56">
        <v>1480</v>
      </c>
      <c r="V66" s="56"/>
      <c r="W66" s="136">
        <v>1020</v>
      </c>
      <c r="X66" s="56">
        <v>133</v>
      </c>
      <c r="Y66" s="56">
        <v>16.7</v>
      </c>
      <c r="Z66" s="56">
        <v>111</v>
      </c>
      <c r="AA66" s="56">
        <v>3.8</v>
      </c>
      <c r="AB66" s="56">
        <v>877</v>
      </c>
      <c r="AC66" s="56">
        <v>108</v>
      </c>
      <c r="AD66" s="141"/>
    </row>
    <row r="67" spans="1:30">
      <c r="A67" s="34">
        <v>2</v>
      </c>
      <c r="B67" s="12" t="s">
        <v>60</v>
      </c>
      <c r="C67" s="13">
        <v>4</v>
      </c>
      <c r="D67" s="60">
        <v>44747</v>
      </c>
      <c r="E67" s="52">
        <v>6.24</v>
      </c>
      <c r="F67" s="56">
        <v>4960</v>
      </c>
      <c r="G67" s="54">
        <v>36</v>
      </c>
      <c r="H67" s="55" t="s">
        <v>33</v>
      </c>
      <c r="I67" s="56">
        <v>15.7</v>
      </c>
      <c r="J67" s="56">
        <v>958</v>
      </c>
      <c r="K67" s="56" t="s">
        <v>34</v>
      </c>
      <c r="L67" s="56" t="s">
        <v>35</v>
      </c>
      <c r="M67" s="56" t="s">
        <v>35</v>
      </c>
      <c r="N67" s="63">
        <v>1330</v>
      </c>
      <c r="O67" s="56" t="s">
        <v>35</v>
      </c>
      <c r="P67" s="56" t="s">
        <v>37</v>
      </c>
      <c r="Q67" s="56">
        <v>200</v>
      </c>
      <c r="R67" s="56">
        <v>6.4</v>
      </c>
      <c r="S67" s="56" t="s">
        <v>39</v>
      </c>
      <c r="T67" s="56" t="s">
        <v>42</v>
      </c>
      <c r="U67" s="56">
        <v>1550</v>
      </c>
      <c r="V67" s="56"/>
      <c r="W67" s="136">
        <v>921</v>
      </c>
      <c r="X67" s="56">
        <v>131</v>
      </c>
      <c r="Y67" s="56">
        <v>17.100000000000001</v>
      </c>
      <c r="Z67" s="56">
        <v>104</v>
      </c>
      <c r="AA67" s="56">
        <v>4.0999999999999996</v>
      </c>
      <c r="AB67" s="56">
        <v>932</v>
      </c>
      <c r="AC67" s="56">
        <v>107</v>
      </c>
      <c r="AD67" s="141"/>
    </row>
    <row r="68" spans="1:30">
      <c r="A68" s="11">
        <v>2</v>
      </c>
      <c r="B68" s="12" t="s">
        <v>60</v>
      </c>
      <c r="C68" s="13">
        <v>4</v>
      </c>
      <c r="D68" s="60">
        <v>44676</v>
      </c>
      <c r="E68" s="52">
        <v>6.52</v>
      </c>
      <c r="F68" s="56">
        <v>5390</v>
      </c>
      <c r="G68" s="54">
        <v>55</v>
      </c>
      <c r="H68" s="55" t="s">
        <v>33</v>
      </c>
      <c r="I68" s="55">
        <v>16.5</v>
      </c>
      <c r="J68" s="55">
        <v>1010</v>
      </c>
      <c r="K68" s="55" t="s">
        <v>34</v>
      </c>
      <c r="L68" s="56" t="s">
        <v>35</v>
      </c>
      <c r="M68" s="56" t="s">
        <v>40</v>
      </c>
      <c r="N68" s="63">
        <v>1320</v>
      </c>
      <c r="O68" s="56" t="s">
        <v>40</v>
      </c>
      <c r="P68" s="56" t="s">
        <v>37</v>
      </c>
      <c r="Q68" s="56" t="s">
        <v>49</v>
      </c>
      <c r="R68" s="56">
        <v>7.6</v>
      </c>
      <c r="S68" s="56" t="s">
        <v>39</v>
      </c>
      <c r="T68" s="56" t="s">
        <v>50</v>
      </c>
      <c r="U68" s="56">
        <v>1450</v>
      </c>
      <c r="V68" s="89"/>
      <c r="W68" s="156">
        <v>804</v>
      </c>
      <c r="X68" s="56">
        <v>129</v>
      </c>
      <c r="Y68" s="56">
        <v>16.600000000000001</v>
      </c>
      <c r="Z68" s="56">
        <v>105</v>
      </c>
      <c r="AA68" s="56">
        <v>4.2</v>
      </c>
      <c r="AB68" s="56">
        <v>860</v>
      </c>
      <c r="AC68" s="56">
        <v>107</v>
      </c>
      <c r="AD68" s="141"/>
    </row>
    <row r="69" spans="1:30">
      <c r="A69" s="11">
        <v>2</v>
      </c>
      <c r="B69" s="12" t="s">
        <v>60</v>
      </c>
      <c r="C69" s="13">
        <v>4</v>
      </c>
      <c r="D69" s="60">
        <v>44585</v>
      </c>
      <c r="E69" s="52">
        <v>6.46</v>
      </c>
      <c r="F69" s="56">
        <v>5090</v>
      </c>
      <c r="G69" s="54">
        <v>51</v>
      </c>
      <c r="H69" s="55" t="s">
        <v>33</v>
      </c>
      <c r="I69" s="55">
        <v>16.399999999999999</v>
      </c>
      <c r="J69" s="56">
        <v>1000</v>
      </c>
      <c r="K69" s="56" t="s">
        <v>34</v>
      </c>
      <c r="L69" s="56" t="s">
        <v>35</v>
      </c>
      <c r="M69" s="56" t="s">
        <v>35</v>
      </c>
      <c r="N69" s="63">
        <v>1230</v>
      </c>
      <c r="O69" s="56" t="s">
        <v>35</v>
      </c>
      <c r="P69" s="56" t="s">
        <v>37</v>
      </c>
      <c r="Q69" s="56">
        <v>200</v>
      </c>
      <c r="R69" s="56">
        <v>8</v>
      </c>
      <c r="S69" s="56" t="s">
        <v>39</v>
      </c>
      <c r="T69" s="56" t="s">
        <v>42</v>
      </c>
      <c r="U69" s="56">
        <v>1460</v>
      </c>
      <c r="V69" s="56"/>
      <c r="W69" s="136">
        <v>721</v>
      </c>
      <c r="X69" s="56">
        <v>132</v>
      </c>
      <c r="Y69" s="56">
        <v>17.600000000000001</v>
      </c>
      <c r="Z69" s="56">
        <v>106</v>
      </c>
      <c r="AA69" s="56">
        <v>4.5999999999999996</v>
      </c>
      <c r="AB69" s="56">
        <v>866</v>
      </c>
      <c r="AC69" s="56">
        <v>109</v>
      </c>
      <c r="AD69" s="141"/>
    </row>
    <row r="70" spans="1:30">
      <c r="A70" s="11">
        <v>2</v>
      </c>
      <c r="B70" s="12" t="s">
        <v>60</v>
      </c>
      <c r="C70" s="13">
        <v>4</v>
      </c>
      <c r="D70" s="60">
        <v>44515</v>
      </c>
      <c r="E70" s="52">
        <v>6.33</v>
      </c>
      <c r="F70" s="56">
        <v>5080</v>
      </c>
      <c r="G70" s="54">
        <v>40</v>
      </c>
      <c r="H70" s="55" t="s">
        <v>33</v>
      </c>
      <c r="I70" s="55">
        <v>15.3</v>
      </c>
      <c r="J70" s="56">
        <v>933</v>
      </c>
      <c r="K70" s="56" t="s">
        <v>34</v>
      </c>
      <c r="L70" s="56" t="s">
        <v>35</v>
      </c>
      <c r="M70" s="56" t="s">
        <v>35</v>
      </c>
      <c r="N70" s="63">
        <v>1320</v>
      </c>
      <c r="O70" s="56">
        <v>4</v>
      </c>
      <c r="P70" s="56" t="s">
        <v>37</v>
      </c>
      <c r="Q70" s="56">
        <v>300</v>
      </c>
      <c r="R70" s="56">
        <v>8.3000000000000007</v>
      </c>
      <c r="S70" s="56" t="s">
        <v>39</v>
      </c>
      <c r="T70" s="56" t="s">
        <v>42</v>
      </c>
      <c r="U70" s="56">
        <v>1420</v>
      </c>
      <c r="V70" s="56"/>
      <c r="W70" s="136"/>
      <c r="X70" s="56">
        <v>123</v>
      </c>
      <c r="Y70" s="56">
        <v>17.3</v>
      </c>
      <c r="Z70" s="56">
        <v>101</v>
      </c>
      <c r="AA70" s="56">
        <v>4</v>
      </c>
      <c r="AB70" s="56">
        <v>844</v>
      </c>
      <c r="AC70" s="56">
        <v>104</v>
      </c>
      <c r="AD70" s="141"/>
    </row>
    <row r="71" spans="1:30">
      <c r="A71" s="11">
        <v>2</v>
      </c>
      <c r="B71" s="12" t="s">
        <v>60</v>
      </c>
      <c r="C71" s="13">
        <v>4</v>
      </c>
      <c r="D71" s="60">
        <v>44489</v>
      </c>
      <c r="E71" s="52"/>
      <c r="F71" s="56"/>
      <c r="G71" s="140"/>
      <c r="H71" s="139"/>
      <c r="I71" s="89"/>
      <c r="J71" s="89"/>
      <c r="K71" s="89"/>
      <c r="L71" s="88"/>
      <c r="M71" s="56"/>
      <c r="N71" s="63">
        <v>1280</v>
      </c>
      <c r="O71" s="89"/>
      <c r="P71" s="56"/>
      <c r="Q71" s="56"/>
      <c r="R71" s="56"/>
      <c r="S71" s="56"/>
      <c r="T71" s="56"/>
      <c r="U71" s="89"/>
      <c r="V71" s="89"/>
      <c r="W71" s="136"/>
      <c r="X71" s="88"/>
      <c r="Y71" s="88"/>
      <c r="Z71" s="89"/>
      <c r="AA71" s="139"/>
      <c r="AB71" s="89"/>
      <c r="AC71" s="89"/>
      <c r="AD71" s="141"/>
    </row>
    <row r="72" spans="1:30">
      <c r="A72" s="11">
        <v>2</v>
      </c>
      <c r="B72" s="12" t="s">
        <v>60</v>
      </c>
      <c r="C72" s="13">
        <v>4</v>
      </c>
      <c r="D72" s="60">
        <v>44406</v>
      </c>
      <c r="E72" s="52">
        <v>6.38</v>
      </c>
      <c r="F72" s="56">
        <v>5310</v>
      </c>
      <c r="G72" s="54">
        <v>49</v>
      </c>
      <c r="H72" s="55" t="s">
        <v>33</v>
      </c>
      <c r="I72" s="55">
        <v>15.5</v>
      </c>
      <c r="J72" s="56">
        <v>946</v>
      </c>
      <c r="K72" s="56" t="s">
        <v>34</v>
      </c>
      <c r="L72" s="56" t="s">
        <v>35</v>
      </c>
      <c r="M72" s="56" t="s">
        <v>36</v>
      </c>
      <c r="N72" s="63">
        <v>1190</v>
      </c>
      <c r="O72" s="56">
        <v>0.8</v>
      </c>
      <c r="P72" s="56" t="s">
        <v>37</v>
      </c>
      <c r="Q72" s="56">
        <v>280</v>
      </c>
      <c r="R72" s="56">
        <v>7.8</v>
      </c>
      <c r="S72" s="56" t="s">
        <v>39</v>
      </c>
      <c r="T72" s="56" t="s">
        <v>40</v>
      </c>
      <c r="U72" s="56">
        <v>1390</v>
      </c>
      <c r="V72" s="56"/>
      <c r="W72" s="136">
        <v>769</v>
      </c>
      <c r="X72" s="56">
        <v>126</v>
      </c>
      <c r="Y72" s="56">
        <v>16.600000000000001</v>
      </c>
      <c r="Z72" s="56">
        <v>98.1</v>
      </c>
      <c r="AA72" s="56">
        <v>4.5</v>
      </c>
      <c r="AB72" s="56">
        <v>823</v>
      </c>
      <c r="AC72" s="56">
        <v>103</v>
      </c>
      <c r="AD72" s="141"/>
    </row>
    <row r="73" spans="1:30">
      <c r="A73" s="11">
        <v>2</v>
      </c>
      <c r="B73" s="12" t="s">
        <v>60</v>
      </c>
      <c r="C73" s="13">
        <v>4</v>
      </c>
      <c r="D73" s="60">
        <v>44313</v>
      </c>
      <c r="E73" s="52"/>
      <c r="F73" s="56"/>
      <c r="G73" s="140"/>
      <c r="H73" s="139"/>
      <c r="I73" s="89"/>
      <c r="J73" s="89"/>
      <c r="K73" s="89"/>
      <c r="L73" s="88"/>
      <c r="M73" s="56"/>
      <c r="N73" s="63">
        <v>1220</v>
      </c>
      <c r="O73" s="89"/>
      <c r="P73" s="56"/>
      <c r="Q73" s="56"/>
      <c r="R73" s="56"/>
      <c r="S73" s="56"/>
      <c r="T73" s="56"/>
      <c r="U73" s="89"/>
      <c r="V73" s="89"/>
      <c r="W73" s="136"/>
      <c r="X73" s="88"/>
      <c r="Y73" s="88"/>
      <c r="Z73" s="89"/>
      <c r="AA73" s="139"/>
      <c r="AB73" s="89"/>
      <c r="AC73" s="89"/>
      <c r="AD73" s="141"/>
    </row>
    <row r="74" spans="1:30">
      <c r="A74" s="11">
        <v>2</v>
      </c>
      <c r="B74" s="12" t="s">
        <v>60</v>
      </c>
      <c r="C74" s="13">
        <v>4</v>
      </c>
      <c r="D74" s="60">
        <v>44284</v>
      </c>
      <c r="E74" s="52">
        <v>6.43</v>
      </c>
      <c r="F74" s="56">
        <v>4960</v>
      </c>
      <c r="G74" s="54">
        <v>41</v>
      </c>
      <c r="H74" s="55" t="s">
        <v>33</v>
      </c>
      <c r="I74" s="55">
        <v>14.7</v>
      </c>
      <c r="J74" s="56">
        <v>897</v>
      </c>
      <c r="K74" s="56" t="s">
        <v>34</v>
      </c>
      <c r="L74" s="56" t="s">
        <v>35</v>
      </c>
      <c r="M74" s="56" t="s">
        <v>36</v>
      </c>
      <c r="N74" s="63">
        <v>1130</v>
      </c>
      <c r="O74" s="56">
        <v>3.9</v>
      </c>
      <c r="P74" s="56" t="s">
        <v>37</v>
      </c>
      <c r="Q74" s="56">
        <v>390</v>
      </c>
      <c r="R74" s="56">
        <v>9.42</v>
      </c>
      <c r="S74" s="56" t="s">
        <v>39</v>
      </c>
      <c r="T74" s="56" t="s">
        <v>40</v>
      </c>
      <c r="U74" s="56">
        <v>1400</v>
      </c>
      <c r="V74" s="56"/>
      <c r="W74" s="136"/>
      <c r="X74" s="56">
        <v>117</v>
      </c>
      <c r="Y74" s="56">
        <v>16.899999999999999</v>
      </c>
      <c r="Z74" s="56">
        <v>102</v>
      </c>
      <c r="AA74" s="56">
        <v>4.0999999999999996</v>
      </c>
      <c r="AB74" s="56">
        <v>837</v>
      </c>
      <c r="AC74" s="56">
        <v>99.2</v>
      </c>
      <c r="AD74" s="141"/>
    </row>
    <row r="75" spans="1:30">
      <c r="A75" s="11">
        <v>2</v>
      </c>
      <c r="B75" s="12" t="s">
        <v>60</v>
      </c>
      <c r="C75" s="13">
        <v>4</v>
      </c>
      <c r="D75" s="60">
        <v>44250</v>
      </c>
      <c r="E75" s="52">
        <v>6.44</v>
      </c>
      <c r="F75" s="56">
        <v>4760</v>
      </c>
      <c r="G75" s="54">
        <v>46</v>
      </c>
      <c r="H75" s="55" t="s">
        <v>33</v>
      </c>
      <c r="I75" s="55">
        <v>13.8</v>
      </c>
      <c r="J75" s="56">
        <v>842</v>
      </c>
      <c r="K75" s="56" t="s">
        <v>34</v>
      </c>
      <c r="L75" s="53" t="s">
        <v>35</v>
      </c>
      <c r="M75" s="56" t="s">
        <v>36</v>
      </c>
      <c r="N75" s="63">
        <v>1230</v>
      </c>
      <c r="O75" s="56">
        <v>1.4</v>
      </c>
      <c r="P75" s="56" t="s">
        <v>37</v>
      </c>
      <c r="Q75" s="56">
        <v>390</v>
      </c>
      <c r="R75" s="56">
        <v>8</v>
      </c>
      <c r="S75" s="56" t="s">
        <v>39</v>
      </c>
      <c r="T75" s="56" t="s">
        <v>40</v>
      </c>
      <c r="U75" s="56">
        <v>1420</v>
      </c>
      <c r="V75" s="56"/>
      <c r="W75" s="136"/>
      <c r="X75" s="56">
        <v>124</v>
      </c>
      <c r="Y75" s="56">
        <v>18.5</v>
      </c>
      <c r="Z75" s="56">
        <v>105</v>
      </c>
      <c r="AA75" s="56">
        <v>5.0999999999999996</v>
      </c>
      <c r="AB75" s="56">
        <v>842</v>
      </c>
      <c r="AC75" s="56">
        <v>106</v>
      </c>
      <c r="AD75" s="141"/>
    </row>
    <row r="76" spans="1:30">
      <c r="A76" s="11">
        <v>2</v>
      </c>
      <c r="B76" s="12" t="s">
        <v>60</v>
      </c>
      <c r="C76" s="13">
        <v>4</v>
      </c>
      <c r="D76" s="60">
        <v>44236</v>
      </c>
      <c r="E76" s="52">
        <v>6.38</v>
      </c>
      <c r="F76" s="56">
        <v>5040</v>
      </c>
      <c r="G76" s="54">
        <v>41</v>
      </c>
      <c r="H76" s="55" t="s">
        <v>33</v>
      </c>
      <c r="I76" s="55">
        <v>15</v>
      </c>
      <c r="J76" s="56">
        <v>915</v>
      </c>
      <c r="K76" s="56" t="s">
        <v>34</v>
      </c>
      <c r="L76" s="56" t="s">
        <v>35</v>
      </c>
      <c r="M76" s="56" t="s">
        <v>36</v>
      </c>
      <c r="N76" s="63">
        <v>1260</v>
      </c>
      <c r="O76" s="56">
        <v>4.3</v>
      </c>
      <c r="P76" s="56" t="s">
        <v>37</v>
      </c>
      <c r="Q76" s="56">
        <v>460</v>
      </c>
      <c r="R76" s="56">
        <v>7.1</v>
      </c>
      <c r="S76" s="56" t="s">
        <v>39</v>
      </c>
      <c r="T76" s="56" t="s">
        <v>40</v>
      </c>
      <c r="U76" s="56">
        <v>1490</v>
      </c>
      <c r="V76" s="89"/>
      <c r="W76" s="136"/>
      <c r="X76" s="56">
        <v>122</v>
      </c>
      <c r="Y76" s="56">
        <v>19.7</v>
      </c>
      <c r="Z76" s="56">
        <v>112</v>
      </c>
      <c r="AA76" s="56">
        <v>6</v>
      </c>
      <c r="AB76" s="56">
        <v>888</v>
      </c>
      <c r="AC76" s="56">
        <v>109</v>
      </c>
      <c r="AD76" s="141"/>
    </row>
    <row r="77" spans="1:30">
      <c r="A77" s="11">
        <v>2</v>
      </c>
      <c r="B77" s="12" t="s">
        <v>60</v>
      </c>
      <c r="C77" s="13">
        <v>4</v>
      </c>
      <c r="D77" s="60">
        <v>44229</v>
      </c>
      <c r="E77" s="52">
        <v>6.4</v>
      </c>
      <c r="F77" s="56">
        <v>5510</v>
      </c>
      <c r="G77" s="54" t="s">
        <v>36</v>
      </c>
      <c r="H77" s="55" t="s">
        <v>33</v>
      </c>
      <c r="I77" s="55">
        <v>15</v>
      </c>
      <c r="J77" s="56">
        <v>915</v>
      </c>
      <c r="K77" s="56" t="s">
        <v>34</v>
      </c>
      <c r="L77" s="56" t="s">
        <v>35</v>
      </c>
      <c r="M77" s="56" t="s">
        <v>36</v>
      </c>
      <c r="N77" s="63">
        <v>1230</v>
      </c>
      <c r="O77" s="56">
        <v>1.4</v>
      </c>
      <c r="P77" s="56" t="s">
        <v>37</v>
      </c>
      <c r="Q77" s="56">
        <v>420</v>
      </c>
      <c r="R77" s="56">
        <v>7.8</v>
      </c>
      <c r="S77" s="56" t="s">
        <v>39</v>
      </c>
      <c r="T77" s="56" t="s">
        <v>40</v>
      </c>
      <c r="U77" s="56">
        <v>1450</v>
      </c>
      <c r="V77" s="89"/>
      <c r="W77" s="136"/>
      <c r="X77" s="56">
        <v>123</v>
      </c>
      <c r="Y77" s="56">
        <v>18.7</v>
      </c>
      <c r="Z77" s="56">
        <v>111</v>
      </c>
      <c r="AA77" s="56">
        <v>7.2</v>
      </c>
      <c r="AB77" s="56">
        <v>854</v>
      </c>
      <c r="AC77" s="56">
        <v>110</v>
      </c>
      <c r="AD77" s="141"/>
    </row>
    <row r="78" spans="1:30">
      <c r="A78" s="11">
        <v>2</v>
      </c>
      <c r="B78" s="12" t="s">
        <v>60</v>
      </c>
      <c r="C78" s="13">
        <v>4</v>
      </c>
      <c r="D78" s="60">
        <v>44224</v>
      </c>
      <c r="E78" s="52">
        <v>6.48</v>
      </c>
      <c r="F78" s="56">
        <v>5580</v>
      </c>
      <c r="G78" s="54">
        <v>41</v>
      </c>
      <c r="H78" s="55" t="s">
        <v>33</v>
      </c>
      <c r="I78" s="55">
        <v>17.7</v>
      </c>
      <c r="J78" s="56">
        <v>1080</v>
      </c>
      <c r="K78" s="56" t="s">
        <v>34</v>
      </c>
      <c r="L78" s="56" t="s">
        <v>35</v>
      </c>
      <c r="M78" s="56" t="s">
        <v>36</v>
      </c>
      <c r="N78" s="63">
        <v>1410</v>
      </c>
      <c r="O78" s="56">
        <v>4.4000000000000004</v>
      </c>
      <c r="P78" s="56" t="s">
        <v>37</v>
      </c>
      <c r="Q78" s="56">
        <v>430</v>
      </c>
      <c r="R78" s="56">
        <v>7.4</v>
      </c>
      <c r="S78" s="56" t="s">
        <v>39</v>
      </c>
      <c r="T78" s="56" t="s">
        <v>40</v>
      </c>
      <c r="U78" s="56">
        <v>1480</v>
      </c>
      <c r="V78" s="89"/>
      <c r="W78" s="136"/>
      <c r="X78" s="56">
        <v>126</v>
      </c>
      <c r="Y78" s="56">
        <v>17.7</v>
      </c>
      <c r="Z78" s="56">
        <v>111</v>
      </c>
      <c r="AA78" s="56">
        <v>7.5</v>
      </c>
      <c r="AB78" s="56">
        <v>868</v>
      </c>
      <c r="AC78" s="56">
        <v>115</v>
      </c>
      <c r="AD78" s="141"/>
    </row>
    <row r="79" spans="1:30">
      <c r="A79" s="11">
        <v>2</v>
      </c>
      <c r="B79" s="12" t="s">
        <v>60</v>
      </c>
      <c r="C79" s="13">
        <v>4</v>
      </c>
      <c r="D79" s="60">
        <v>44160</v>
      </c>
      <c r="E79" s="52">
        <v>7.02</v>
      </c>
      <c r="F79" s="56">
        <v>3050</v>
      </c>
      <c r="G79" s="140"/>
      <c r="H79" s="139"/>
      <c r="I79" s="89"/>
      <c r="J79" s="89"/>
      <c r="K79" s="89"/>
      <c r="L79" s="88"/>
      <c r="M79" s="56"/>
      <c r="N79" s="63"/>
      <c r="O79" s="89"/>
      <c r="P79" s="56"/>
      <c r="Q79" s="56"/>
      <c r="R79" s="56"/>
      <c r="S79" s="56"/>
      <c r="T79" s="56"/>
      <c r="U79" s="89"/>
      <c r="V79" s="89"/>
      <c r="W79" s="136"/>
      <c r="X79" s="88"/>
      <c r="Y79" s="88"/>
      <c r="Z79" s="89"/>
      <c r="AA79" s="139"/>
      <c r="AB79" s="89"/>
      <c r="AC79" s="89"/>
      <c r="AD79" s="141"/>
    </row>
    <row r="80" spans="1:30" ht="15" thickBot="1">
      <c r="A80" s="15">
        <v>2</v>
      </c>
      <c r="B80" s="16" t="s">
        <v>60</v>
      </c>
      <c r="C80" s="17">
        <v>4</v>
      </c>
      <c r="D80" s="157">
        <v>44160</v>
      </c>
      <c r="E80" s="111">
        <v>6.49</v>
      </c>
      <c r="F80" s="115">
        <v>5220</v>
      </c>
      <c r="G80" s="159"/>
      <c r="H80" s="158"/>
      <c r="I80" s="67"/>
      <c r="J80" s="67"/>
      <c r="K80" s="67"/>
      <c r="L80" s="66"/>
      <c r="M80" s="115" t="s">
        <v>36</v>
      </c>
      <c r="N80" s="116">
        <v>2100</v>
      </c>
      <c r="O80" s="67"/>
      <c r="P80" s="115" t="s">
        <v>37</v>
      </c>
      <c r="Q80" s="115">
        <v>170</v>
      </c>
      <c r="R80" s="115">
        <v>11.9</v>
      </c>
      <c r="S80" s="115" t="s">
        <v>39</v>
      </c>
      <c r="T80" s="115" t="s">
        <v>40</v>
      </c>
      <c r="U80" s="67"/>
      <c r="V80" s="67"/>
      <c r="W80" s="160">
        <v>366</v>
      </c>
      <c r="X80" s="66"/>
      <c r="Y80" s="66"/>
      <c r="Z80" s="67"/>
      <c r="AA80" s="158"/>
      <c r="AB80" s="67"/>
      <c r="AC80" s="67"/>
      <c r="AD80" s="161">
        <v>175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EB053-B037-4FF5-B584-089F3DBEF861}">
  <dimension ref="A1:V505"/>
  <sheetViews>
    <sheetView tabSelected="1" topLeftCell="A42" workbookViewId="0">
      <selection activeCell="X32" sqref="X32"/>
    </sheetView>
  </sheetViews>
  <sheetFormatPr defaultRowHeight="14.4"/>
  <cols>
    <col min="3" max="3" width="16.44140625" customWidth="1"/>
    <col min="4" max="4" width="16" style="35" customWidth="1"/>
    <col min="17" max="17" width="13.88671875" customWidth="1"/>
  </cols>
  <sheetData>
    <row r="1" spans="1:22" ht="63" customHeight="1" thickBot="1">
      <c r="A1" s="242" t="s">
        <v>0</v>
      </c>
      <c r="B1" s="256" t="s">
        <v>63</v>
      </c>
      <c r="C1" s="257" t="s">
        <v>62</v>
      </c>
      <c r="D1" s="2" t="s">
        <v>1</v>
      </c>
      <c r="E1" s="124" t="s">
        <v>70</v>
      </c>
      <c r="F1" s="124" t="s">
        <v>71</v>
      </c>
      <c r="G1" s="124" t="s">
        <v>72</v>
      </c>
      <c r="H1" s="124" t="s">
        <v>73</v>
      </c>
      <c r="I1" s="124" t="s">
        <v>74</v>
      </c>
      <c r="J1" s="124" t="s">
        <v>75</v>
      </c>
      <c r="K1" s="124" t="s">
        <v>76</v>
      </c>
      <c r="L1" s="124" t="s">
        <v>77</v>
      </c>
      <c r="M1" s="124" t="s">
        <v>78</v>
      </c>
      <c r="N1" s="124" t="s">
        <v>79</v>
      </c>
      <c r="O1" s="124" t="s">
        <v>80</v>
      </c>
      <c r="P1" s="243" t="s">
        <v>81</v>
      </c>
      <c r="Q1" s="244" t="s">
        <v>82</v>
      </c>
      <c r="R1" s="245" t="s">
        <v>83</v>
      </c>
      <c r="S1" s="246" t="s">
        <v>84</v>
      </c>
      <c r="T1" s="245" t="s">
        <v>85</v>
      </c>
      <c r="U1" s="247" t="s">
        <v>86</v>
      </c>
      <c r="V1" s="248" t="s">
        <v>87</v>
      </c>
    </row>
    <row r="2" spans="1:22" ht="21.6" thickBot="1">
      <c r="A2" s="249"/>
      <c r="B2" s="250"/>
      <c r="C2" s="251"/>
      <c r="D2" s="354"/>
      <c r="E2" s="5" t="s">
        <v>88</v>
      </c>
      <c r="F2" s="5" t="s">
        <v>89</v>
      </c>
      <c r="G2" s="5" t="s">
        <v>90</v>
      </c>
      <c r="H2" s="5" t="s">
        <v>91</v>
      </c>
      <c r="I2" s="5" t="s">
        <v>92</v>
      </c>
      <c r="J2" s="5" t="s">
        <v>93</v>
      </c>
      <c r="K2" s="5" t="s">
        <v>94</v>
      </c>
      <c r="L2" s="5" t="s">
        <v>95</v>
      </c>
      <c r="M2" s="5" t="s">
        <v>96</v>
      </c>
      <c r="N2" s="5" t="s">
        <v>97</v>
      </c>
      <c r="O2" s="5" t="s">
        <v>98</v>
      </c>
      <c r="P2" s="252" t="s">
        <v>99</v>
      </c>
      <c r="Q2" s="253" t="s">
        <v>100</v>
      </c>
      <c r="R2" s="254"/>
      <c r="S2" s="255"/>
    </row>
    <row r="3" spans="1:22">
      <c r="A3" s="258">
        <v>1</v>
      </c>
      <c r="B3" s="259" t="s">
        <v>2</v>
      </c>
      <c r="C3" s="260">
        <v>1</v>
      </c>
      <c r="D3" s="355">
        <v>45980</v>
      </c>
      <c r="E3" s="261">
        <v>4.0999999999999996</v>
      </c>
      <c r="F3" s="261">
        <v>699</v>
      </c>
      <c r="G3" s="262">
        <v>4450</v>
      </c>
      <c r="H3" s="261" t="s">
        <v>46</v>
      </c>
      <c r="I3" s="261">
        <v>18.5</v>
      </c>
      <c r="J3" s="261">
        <v>3.3</v>
      </c>
      <c r="K3" s="261" t="s">
        <v>46</v>
      </c>
      <c r="L3" s="261">
        <v>1.4</v>
      </c>
      <c r="M3" s="261" t="s">
        <v>46</v>
      </c>
      <c r="N3" s="261" t="s">
        <v>46</v>
      </c>
      <c r="O3" s="261" t="s">
        <v>46</v>
      </c>
      <c r="P3" s="262">
        <v>68800</v>
      </c>
      <c r="Q3" s="262">
        <f t="shared" ref="Q3:Q9" si="0">SUM(E3:P3)</f>
        <v>73976.3</v>
      </c>
      <c r="R3" s="8" t="s">
        <v>36</v>
      </c>
      <c r="S3" s="8">
        <v>1220</v>
      </c>
      <c r="T3" s="263">
        <v>10200</v>
      </c>
      <c r="U3" s="264"/>
      <c r="V3" s="265"/>
    </row>
    <row r="4" spans="1:22">
      <c r="A4" s="266">
        <v>1</v>
      </c>
      <c r="B4" s="267" t="s">
        <v>2</v>
      </c>
      <c r="C4" s="268">
        <v>1</v>
      </c>
      <c r="D4" s="356">
        <v>45782</v>
      </c>
      <c r="E4" s="269">
        <v>69.7</v>
      </c>
      <c r="F4" s="269">
        <v>49200</v>
      </c>
      <c r="G4" s="269">
        <v>6340</v>
      </c>
      <c r="H4" s="269" t="s">
        <v>46</v>
      </c>
      <c r="I4" s="269">
        <v>19.2</v>
      </c>
      <c r="J4" s="269">
        <v>7.9</v>
      </c>
      <c r="K4" s="269" t="s">
        <v>46</v>
      </c>
      <c r="L4" s="269">
        <v>5</v>
      </c>
      <c r="M4" s="269" t="s">
        <v>46</v>
      </c>
      <c r="N4" s="269" t="s">
        <v>46</v>
      </c>
      <c r="O4" s="269" t="s">
        <v>46</v>
      </c>
      <c r="P4" s="269">
        <v>99700</v>
      </c>
      <c r="Q4" s="269">
        <f t="shared" si="0"/>
        <v>155341.79999999999</v>
      </c>
      <c r="R4" s="270" t="s">
        <v>36</v>
      </c>
      <c r="S4" s="270">
        <v>4810</v>
      </c>
      <c r="T4" s="270">
        <v>3710</v>
      </c>
      <c r="U4" s="271"/>
      <c r="V4" s="265" t="s">
        <v>46</v>
      </c>
    </row>
    <row r="5" spans="1:22">
      <c r="A5" s="266">
        <v>1</v>
      </c>
      <c r="B5" s="267" t="s">
        <v>2</v>
      </c>
      <c r="C5" s="268">
        <v>1</v>
      </c>
      <c r="D5" s="356">
        <v>45755</v>
      </c>
      <c r="E5" s="272">
        <v>78.8</v>
      </c>
      <c r="F5" s="272">
        <v>47300</v>
      </c>
      <c r="G5" s="269">
        <v>5920</v>
      </c>
      <c r="H5" s="272" t="s">
        <v>46</v>
      </c>
      <c r="I5" s="272">
        <v>18.399999999999999</v>
      </c>
      <c r="J5" s="272">
        <v>7.3</v>
      </c>
      <c r="K5" s="272" t="s">
        <v>46</v>
      </c>
      <c r="L5" s="272">
        <v>9.1</v>
      </c>
      <c r="M5" s="272">
        <v>1.5</v>
      </c>
      <c r="N5" s="272" t="s">
        <v>46</v>
      </c>
      <c r="O5" s="272">
        <v>3.2</v>
      </c>
      <c r="P5" s="269">
        <v>113000</v>
      </c>
      <c r="Q5" s="269">
        <f t="shared" si="0"/>
        <v>166338.29999999999</v>
      </c>
      <c r="R5" s="12"/>
      <c r="S5" s="12"/>
      <c r="T5" s="273"/>
      <c r="U5" s="274"/>
      <c r="V5" s="265"/>
    </row>
    <row r="6" spans="1:22">
      <c r="A6" s="266">
        <v>1</v>
      </c>
      <c r="B6" s="267" t="s">
        <v>2</v>
      </c>
      <c r="C6" s="268">
        <v>1</v>
      </c>
      <c r="D6" s="356">
        <v>45727</v>
      </c>
      <c r="E6" s="272">
        <v>48.4</v>
      </c>
      <c r="F6" s="272">
        <v>34400</v>
      </c>
      <c r="G6" s="269">
        <v>3180</v>
      </c>
      <c r="H6" s="272" t="s">
        <v>46</v>
      </c>
      <c r="I6" s="272">
        <v>9.4</v>
      </c>
      <c r="J6" s="272">
        <v>2.2999999999999998</v>
      </c>
      <c r="K6" s="272" t="s">
        <v>46</v>
      </c>
      <c r="L6" s="272">
        <v>19</v>
      </c>
      <c r="M6" s="272">
        <v>2.7</v>
      </c>
      <c r="N6" s="272" t="s">
        <v>46</v>
      </c>
      <c r="O6" s="272">
        <v>3.9</v>
      </c>
      <c r="P6" s="269">
        <v>57700</v>
      </c>
      <c r="Q6" s="269">
        <f t="shared" si="0"/>
        <v>95365.700000000012</v>
      </c>
      <c r="R6" s="12"/>
      <c r="S6" s="12"/>
      <c r="T6" s="273"/>
      <c r="U6" s="274"/>
      <c r="V6" s="265"/>
    </row>
    <row r="7" spans="1:22">
      <c r="A7" s="266">
        <v>1</v>
      </c>
      <c r="B7" s="267" t="s">
        <v>2</v>
      </c>
      <c r="C7" s="268">
        <v>1</v>
      </c>
      <c r="D7" s="356">
        <v>45706</v>
      </c>
      <c r="E7" s="272">
        <v>6.6</v>
      </c>
      <c r="F7" s="272">
        <v>4040</v>
      </c>
      <c r="G7" s="269">
        <v>1900</v>
      </c>
      <c r="H7" s="272">
        <v>2</v>
      </c>
      <c r="I7" s="272">
        <v>11.3</v>
      </c>
      <c r="J7" s="272">
        <v>1</v>
      </c>
      <c r="K7" s="272" t="s">
        <v>46</v>
      </c>
      <c r="L7" s="272">
        <v>19.100000000000001</v>
      </c>
      <c r="M7" s="272">
        <v>5</v>
      </c>
      <c r="N7" s="272" t="s">
        <v>46</v>
      </c>
      <c r="O7" s="272">
        <v>5.5</v>
      </c>
      <c r="P7" s="269">
        <v>16400</v>
      </c>
      <c r="Q7" s="269">
        <f t="shared" si="0"/>
        <v>22390.5</v>
      </c>
      <c r="R7" s="12"/>
      <c r="S7" s="12"/>
      <c r="T7" s="270">
        <v>1410</v>
      </c>
      <c r="U7" s="271"/>
      <c r="V7" s="265"/>
    </row>
    <row r="8" spans="1:22">
      <c r="A8" s="266">
        <v>1</v>
      </c>
      <c r="B8" s="267" t="s">
        <v>2</v>
      </c>
      <c r="C8" s="268">
        <v>1</v>
      </c>
      <c r="D8" s="356">
        <v>45670</v>
      </c>
      <c r="E8" s="272">
        <v>3.1</v>
      </c>
      <c r="F8" s="272">
        <v>4040</v>
      </c>
      <c r="G8" s="269">
        <v>163</v>
      </c>
      <c r="H8" s="272" t="s">
        <v>46</v>
      </c>
      <c r="I8" s="272">
        <v>0.7</v>
      </c>
      <c r="J8" s="272">
        <v>1.9</v>
      </c>
      <c r="K8" s="272" t="s">
        <v>46</v>
      </c>
      <c r="L8" s="272">
        <v>6.3</v>
      </c>
      <c r="M8" s="272">
        <v>2.6</v>
      </c>
      <c r="N8" s="272" t="s">
        <v>46</v>
      </c>
      <c r="O8" s="272">
        <v>2.5</v>
      </c>
      <c r="P8" s="269">
        <v>1310</v>
      </c>
      <c r="Q8" s="269">
        <f t="shared" si="0"/>
        <v>5530.1</v>
      </c>
      <c r="R8" s="12"/>
      <c r="S8" s="12"/>
      <c r="T8" s="270"/>
      <c r="U8" s="271"/>
      <c r="V8" s="265"/>
    </row>
    <row r="9" spans="1:22">
      <c r="A9" s="266">
        <v>1</v>
      </c>
      <c r="B9" s="267" t="s">
        <v>2</v>
      </c>
      <c r="C9" s="268">
        <v>1</v>
      </c>
      <c r="D9" s="356">
        <v>45644</v>
      </c>
      <c r="E9" s="272">
        <v>11.1</v>
      </c>
      <c r="F9" s="272">
        <v>13600</v>
      </c>
      <c r="G9" s="269">
        <v>688</v>
      </c>
      <c r="H9" s="272" t="s">
        <v>46</v>
      </c>
      <c r="I9" s="272">
        <v>3</v>
      </c>
      <c r="J9" s="272">
        <v>1</v>
      </c>
      <c r="K9" s="272" t="s">
        <v>46</v>
      </c>
      <c r="L9" s="272" t="s">
        <v>46</v>
      </c>
      <c r="M9" s="272">
        <v>1.2</v>
      </c>
      <c r="N9" s="272" t="s">
        <v>46</v>
      </c>
      <c r="O9" s="272" t="s">
        <v>46</v>
      </c>
      <c r="P9" s="269">
        <v>8280</v>
      </c>
      <c r="Q9" s="269">
        <f t="shared" si="0"/>
        <v>22584.300000000003</v>
      </c>
      <c r="R9" s="12"/>
      <c r="S9" s="12"/>
      <c r="T9" s="270">
        <v>160</v>
      </c>
      <c r="U9" s="271" t="s">
        <v>101</v>
      </c>
      <c r="V9" s="265"/>
    </row>
    <row r="10" spans="1:22">
      <c r="A10" s="266">
        <v>1</v>
      </c>
      <c r="B10" s="267" t="s">
        <v>2</v>
      </c>
      <c r="C10" s="268">
        <v>1</v>
      </c>
      <c r="D10" s="356">
        <v>45264</v>
      </c>
      <c r="E10" s="272">
        <v>902</v>
      </c>
      <c r="F10" s="272">
        <v>438000</v>
      </c>
      <c r="G10" s="269">
        <v>18800</v>
      </c>
      <c r="H10" s="272">
        <v>2.8</v>
      </c>
      <c r="I10" s="272">
        <v>40.4</v>
      </c>
      <c r="J10" s="272">
        <v>120</v>
      </c>
      <c r="K10" s="272">
        <v>1.9</v>
      </c>
      <c r="L10" s="272">
        <v>7.1</v>
      </c>
      <c r="M10" s="272">
        <v>7.7</v>
      </c>
      <c r="N10" s="272">
        <v>2.4</v>
      </c>
      <c r="O10" s="272" t="s">
        <v>46</v>
      </c>
      <c r="P10" s="269">
        <v>93000</v>
      </c>
      <c r="Q10" s="269">
        <f>SUM(E10:P10)</f>
        <v>550884.30000000005</v>
      </c>
      <c r="R10" s="12"/>
      <c r="S10" s="12"/>
      <c r="T10" s="270">
        <v>7220</v>
      </c>
      <c r="U10" s="271" t="s">
        <v>101</v>
      </c>
      <c r="V10" s="265"/>
    </row>
    <row r="11" spans="1:22">
      <c r="A11" s="266">
        <v>1</v>
      </c>
      <c r="B11" s="267" t="s">
        <v>2</v>
      </c>
      <c r="C11" s="268">
        <v>1</v>
      </c>
      <c r="D11" s="356">
        <v>45244</v>
      </c>
      <c r="E11" s="272">
        <v>1400</v>
      </c>
      <c r="F11" s="272">
        <v>526000</v>
      </c>
      <c r="G11" s="269">
        <v>29400</v>
      </c>
      <c r="H11" s="272">
        <v>4.0999999999999996</v>
      </c>
      <c r="I11" s="272">
        <v>63.7</v>
      </c>
      <c r="J11" s="272">
        <v>127</v>
      </c>
      <c r="K11" s="272">
        <v>3.1</v>
      </c>
      <c r="L11" s="272">
        <v>5.8</v>
      </c>
      <c r="M11" s="272">
        <v>8.8000000000000007</v>
      </c>
      <c r="N11" s="272">
        <v>3.5</v>
      </c>
      <c r="O11" s="272" t="s">
        <v>46</v>
      </c>
      <c r="P11" s="269">
        <v>188000</v>
      </c>
      <c r="Q11" s="269">
        <f>SUM(E11:P11)</f>
        <v>745016</v>
      </c>
      <c r="R11" s="12"/>
      <c r="S11" s="12"/>
      <c r="T11" s="270">
        <v>11000</v>
      </c>
      <c r="U11" s="271" t="s">
        <v>101</v>
      </c>
      <c r="V11" s="265"/>
    </row>
    <row r="12" spans="1:22">
      <c r="A12" s="266">
        <v>1</v>
      </c>
      <c r="B12" s="267" t="s">
        <v>2</v>
      </c>
      <c r="C12" s="268">
        <v>1</v>
      </c>
      <c r="D12" s="356">
        <v>44747</v>
      </c>
      <c r="E12" s="272">
        <v>179</v>
      </c>
      <c r="F12" s="272">
        <v>58600</v>
      </c>
      <c r="G12" s="269">
        <v>13800</v>
      </c>
      <c r="H12" s="272">
        <v>5.8</v>
      </c>
      <c r="I12" s="272">
        <v>29.8</v>
      </c>
      <c r="J12" s="272">
        <v>21</v>
      </c>
      <c r="K12" s="272">
        <v>1.4</v>
      </c>
      <c r="L12" s="272">
        <v>3</v>
      </c>
      <c r="M12" s="272">
        <v>2</v>
      </c>
      <c r="N12" s="272" t="s">
        <v>46</v>
      </c>
      <c r="O12" s="272" t="s">
        <v>46</v>
      </c>
      <c r="P12" s="269">
        <v>322000</v>
      </c>
      <c r="Q12" s="269">
        <f>SUM(E12:P12)</f>
        <v>394642</v>
      </c>
      <c r="R12" s="12"/>
      <c r="S12" s="12"/>
      <c r="T12" s="270">
        <v>13700</v>
      </c>
      <c r="U12" s="271" t="s">
        <v>101</v>
      </c>
      <c r="V12" s="265" t="s">
        <v>46</v>
      </c>
    </row>
    <row r="13" spans="1:22" ht="15" thickBot="1">
      <c r="A13" s="275">
        <v>1</v>
      </c>
      <c r="B13" s="276" t="s">
        <v>2</v>
      </c>
      <c r="C13" s="277">
        <v>1</v>
      </c>
      <c r="D13" s="357">
        <v>44159</v>
      </c>
      <c r="E13" s="278">
        <v>65.8</v>
      </c>
      <c r="F13" s="278">
        <v>276000</v>
      </c>
      <c r="G13" s="278">
        <v>899</v>
      </c>
      <c r="H13" s="278" t="s">
        <v>46</v>
      </c>
      <c r="I13" s="278">
        <v>4.8</v>
      </c>
      <c r="J13" s="278">
        <v>41.7</v>
      </c>
      <c r="K13" s="278" t="s">
        <v>46</v>
      </c>
      <c r="L13" s="278">
        <v>33.700000000000003</v>
      </c>
      <c r="M13" s="278">
        <v>30.1</v>
      </c>
      <c r="N13" s="278" t="s">
        <v>46</v>
      </c>
      <c r="O13" s="278">
        <v>7.7</v>
      </c>
      <c r="P13" s="278">
        <v>2400</v>
      </c>
      <c r="Q13" s="278">
        <f>SUM(E13:P13)</f>
        <v>279482.8</v>
      </c>
      <c r="R13" s="16"/>
      <c r="S13" s="16"/>
      <c r="T13" s="16"/>
      <c r="U13" s="279"/>
      <c r="V13" s="280"/>
    </row>
    <row r="14" spans="1:22">
      <c r="A14" s="281">
        <v>1</v>
      </c>
      <c r="B14" s="282" t="s">
        <v>2</v>
      </c>
      <c r="C14" s="283">
        <v>2</v>
      </c>
      <c r="D14" s="358">
        <v>46085</v>
      </c>
      <c r="E14" s="284" t="s">
        <v>46</v>
      </c>
      <c r="F14" s="284">
        <v>283</v>
      </c>
      <c r="G14" s="284">
        <v>476</v>
      </c>
      <c r="H14" s="284" t="s">
        <v>46</v>
      </c>
      <c r="I14" s="284">
        <v>6.6</v>
      </c>
      <c r="J14" s="284" t="s">
        <v>48</v>
      </c>
      <c r="K14" s="284" t="s">
        <v>46</v>
      </c>
      <c r="L14" s="284">
        <v>2.9</v>
      </c>
      <c r="M14" s="284" t="s">
        <v>46</v>
      </c>
      <c r="N14" s="284" t="s">
        <v>46</v>
      </c>
      <c r="O14" s="284">
        <v>2.5</v>
      </c>
      <c r="P14" s="284">
        <v>1920</v>
      </c>
      <c r="Q14" s="284">
        <f t="shared" ref="Q14:Q26" si="1">SUM(E14:P14)</f>
        <v>2691</v>
      </c>
      <c r="R14" s="285"/>
      <c r="S14" s="285"/>
      <c r="T14" s="285">
        <v>940</v>
      </c>
      <c r="U14" s="286"/>
      <c r="V14" s="280"/>
    </row>
    <row r="15" spans="1:22">
      <c r="A15" s="287">
        <v>1</v>
      </c>
      <c r="B15" s="288" t="s">
        <v>2</v>
      </c>
      <c r="C15" s="289">
        <v>2</v>
      </c>
      <c r="D15" s="359">
        <v>46056</v>
      </c>
      <c r="E15" s="290" t="s">
        <v>46</v>
      </c>
      <c r="F15" s="290">
        <v>33.5</v>
      </c>
      <c r="G15" s="290">
        <v>1420</v>
      </c>
      <c r="H15" s="290">
        <v>3.2</v>
      </c>
      <c r="I15" s="290">
        <v>16.8</v>
      </c>
      <c r="J15" s="290" t="s">
        <v>48</v>
      </c>
      <c r="K15" s="290" t="s">
        <v>46</v>
      </c>
      <c r="L15" s="290">
        <v>16.600000000000001</v>
      </c>
      <c r="M15" s="290" t="s">
        <v>46</v>
      </c>
      <c r="N15" s="290" t="s">
        <v>46</v>
      </c>
      <c r="O15" s="290">
        <v>12.5</v>
      </c>
      <c r="P15" s="290">
        <v>575</v>
      </c>
      <c r="Q15" s="290">
        <f t="shared" si="1"/>
        <v>2077.6</v>
      </c>
      <c r="R15" s="270"/>
      <c r="S15" s="270"/>
      <c r="T15" s="270"/>
      <c r="U15" s="271"/>
      <c r="V15" s="280"/>
    </row>
    <row r="16" spans="1:22">
      <c r="A16" s="287">
        <v>1</v>
      </c>
      <c r="B16" s="288" t="s">
        <v>2</v>
      </c>
      <c r="C16" s="289">
        <v>2</v>
      </c>
      <c r="D16" s="359">
        <v>46028</v>
      </c>
      <c r="E16" s="290" t="s">
        <v>46</v>
      </c>
      <c r="F16" s="290">
        <v>53.1</v>
      </c>
      <c r="G16" s="290">
        <v>2590</v>
      </c>
      <c r="H16" s="290" t="s">
        <v>46</v>
      </c>
      <c r="I16" s="290">
        <v>12.8</v>
      </c>
      <c r="J16" s="290">
        <v>2.6</v>
      </c>
      <c r="K16" s="290" t="s">
        <v>46</v>
      </c>
      <c r="L16" s="290">
        <v>6.8</v>
      </c>
      <c r="M16" s="290" t="s">
        <v>46</v>
      </c>
      <c r="N16" s="290" t="s">
        <v>46</v>
      </c>
      <c r="O16" s="290" t="s">
        <v>46</v>
      </c>
      <c r="P16" s="290">
        <v>44700</v>
      </c>
      <c r="Q16" s="290">
        <f t="shared" si="1"/>
        <v>47365.3</v>
      </c>
      <c r="R16" s="270"/>
      <c r="S16" s="270"/>
      <c r="T16" s="270"/>
      <c r="U16" s="271"/>
      <c r="V16" s="280"/>
    </row>
    <row r="17" spans="1:22">
      <c r="A17" s="287">
        <v>1</v>
      </c>
      <c r="B17" s="288" t="s">
        <v>2</v>
      </c>
      <c r="C17" s="289">
        <v>2</v>
      </c>
      <c r="D17" s="359">
        <v>45992</v>
      </c>
      <c r="E17" s="290">
        <v>30.6</v>
      </c>
      <c r="F17" s="290">
        <v>11400</v>
      </c>
      <c r="G17" s="290">
        <v>4980</v>
      </c>
      <c r="H17" s="290" t="s">
        <v>46</v>
      </c>
      <c r="I17" s="290">
        <v>16.899999999999999</v>
      </c>
      <c r="J17" s="290">
        <v>5.4</v>
      </c>
      <c r="K17" s="290" t="s">
        <v>46</v>
      </c>
      <c r="L17" s="290" t="s">
        <v>46</v>
      </c>
      <c r="M17" s="290" t="s">
        <v>46</v>
      </c>
      <c r="N17" s="290" t="s">
        <v>46</v>
      </c>
      <c r="O17" s="290" t="s">
        <v>46</v>
      </c>
      <c r="P17" s="290">
        <v>112000</v>
      </c>
      <c r="Q17" s="290">
        <f t="shared" si="1"/>
        <v>128432.9</v>
      </c>
      <c r="R17" s="270"/>
      <c r="S17" s="270"/>
      <c r="T17" s="270"/>
      <c r="U17" s="271"/>
      <c r="V17" s="280"/>
    </row>
    <row r="18" spans="1:22">
      <c r="A18" s="287">
        <v>1</v>
      </c>
      <c r="B18" s="288" t="s">
        <v>2</v>
      </c>
      <c r="C18" s="289">
        <v>2</v>
      </c>
      <c r="D18" s="359">
        <v>45971</v>
      </c>
      <c r="E18" s="290">
        <v>20.399999999999999</v>
      </c>
      <c r="F18" s="290">
        <v>9380</v>
      </c>
      <c r="G18" s="290">
        <v>4600</v>
      </c>
      <c r="H18" s="290" t="s">
        <v>46</v>
      </c>
      <c r="I18" s="290">
        <v>15.1</v>
      </c>
      <c r="J18" s="290">
        <v>5.4</v>
      </c>
      <c r="K18" s="290" t="s">
        <v>46</v>
      </c>
      <c r="L18" s="290">
        <v>12</v>
      </c>
      <c r="M18" s="290" t="s">
        <v>46</v>
      </c>
      <c r="N18" s="290" t="s">
        <v>46</v>
      </c>
      <c r="O18" s="290" t="s">
        <v>46</v>
      </c>
      <c r="P18" s="290">
        <v>83900</v>
      </c>
      <c r="Q18" s="290">
        <f t="shared" si="1"/>
        <v>97932.9</v>
      </c>
      <c r="R18" s="270" t="s">
        <v>36</v>
      </c>
      <c r="S18" s="270">
        <v>2190</v>
      </c>
      <c r="T18" s="270">
        <v>5190</v>
      </c>
      <c r="U18" s="271"/>
      <c r="V18" s="280"/>
    </row>
    <row r="19" spans="1:22">
      <c r="A19" s="287">
        <v>1</v>
      </c>
      <c r="B19" s="288" t="s">
        <v>2</v>
      </c>
      <c r="C19" s="289">
        <v>2</v>
      </c>
      <c r="D19" s="359">
        <v>45936</v>
      </c>
      <c r="E19" s="290">
        <v>62.7</v>
      </c>
      <c r="F19" s="290">
        <v>35200</v>
      </c>
      <c r="G19" s="290">
        <v>5540</v>
      </c>
      <c r="H19" s="290" t="s">
        <v>46</v>
      </c>
      <c r="I19" s="290">
        <v>18.600000000000001</v>
      </c>
      <c r="J19" s="290">
        <v>9.6</v>
      </c>
      <c r="K19" s="290" t="s">
        <v>46</v>
      </c>
      <c r="L19" s="290">
        <v>14.5</v>
      </c>
      <c r="M19" s="290">
        <v>2</v>
      </c>
      <c r="N19" s="290" t="s">
        <v>46</v>
      </c>
      <c r="O19" s="290">
        <v>3.2</v>
      </c>
      <c r="P19" s="290">
        <v>97000</v>
      </c>
      <c r="Q19" s="290">
        <f t="shared" si="1"/>
        <v>137850.59999999998</v>
      </c>
      <c r="R19" s="270"/>
      <c r="S19" s="270"/>
      <c r="T19" s="270"/>
      <c r="U19" s="271"/>
      <c r="V19" s="280"/>
    </row>
    <row r="20" spans="1:22">
      <c r="A20" s="287">
        <v>1</v>
      </c>
      <c r="B20" s="288" t="s">
        <v>2</v>
      </c>
      <c r="C20" s="289">
        <v>2</v>
      </c>
      <c r="D20" s="359">
        <v>45909</v>
      </c>
      <c r="E20" s="290">
        <v>54.2</v>
      </c>
      <c r="F20" s="290">
        <v>19000</v>
      </c>
      <c r="G20" s="290">
        <v>6700</v>
      </c>
      <c r="H20" s="290" t="s">
        <v>46</v>
      </c>
      <c r="I20" s="290">
        <v>28.1</v>
      </c>
      <c r="J20" s="290">
        <v>7.4</v>
      </c>
      <c r="K20" s="290" t="s">
        <v>46</v>
      </c>
      <c r="L20" s="290" t="s">
        <v>46</v>
      </c>
      <c r="M20" s="290" t="s">
        <v>46</v>
      </c>
      <c r="N20" s="290" t="s">
        <v>46</v>
      </c>
      <c r="O20" s="290" t="s">
        <v>46</v>
      </c>
      <c r="P20" s="290">
        <v>149000</v>
      </c>
      <c r="Q20" s="290">
        <f t="shared" si="1"/>
        <v>174789.7</v>
      </c>
      <c r="R20" s="270"/>
      <c r="S20" s="270"/>
      <c r="T20" s="270"/>
      <c r="U20" s="271"/>
      <c r="V20" s="280"/>
    </row>
    <row r="21" spans="1:22">
      <c r="A21" s="287">
        <v>1</v>
      </c>
      <c r="B21" s="288" t="s">
        <v>2</v>
      </c>
      <c r="C21" s="289">
        <v>2</v>
      </c>
      <c r="D21" s="359">
        <v>45895</v>
      </c>
      <c r="E21" s="290" t="s">
        <v>46</v>
      </c>
      <c r="F21" s="290" t="s">
        <v>46</v>
      </c>
      <c r="G21" s="290">
        <v>1360</v>
      </c>
      <c r="H21" s="290" t="s">
        <v>46</v>
      </c>
      <c r="I21" s="290">
        <v>9</v>
      </c>
      <c r="J21" s="290" t="s">
        <v>48</v>
      </c>
      <c r="K21" s="290" t="s">
        <v>46</v>
      </c>
      <c r="L21" s="290" t="s">
        <v>46</v>
      </c>
      <c r="M21" s="290">
        <v>15</v>
      </c>
      <c r="N21" s="290" t="s">
        <v>46</v>
      </c>
      <c r="O21" s="290" t="s">
        <v>46</v>
      </c>
      <c r="P21" s="290">
        <v>21800</v>
      </c>
      <c r="Q21" s="290">
        <f t="shared" si="1"/>
        <v>23184</v>
      </c>
      <c r="R21" s="270"/>
      <c r="S21" s="270"/>
      <c r="T21" s="270">
        <v>2160</v>
      </c>
      <c r="U21" s="271"/>
      <c r="V21" s="280"/>
    </row>
    <row r="22" spans="1:22">
      <c r="A22" s="287">
        <v>1</v>
      </c>
      <c r="B22" s="288" t="s">
        <v>2</v>
      </c>
      <c r="C22" s="289">
        <v>2</v>
      </c>
      <c r="D22" s="359">
        <v>45840</v>
      </c>
      <c r="E22" s="290">
        <v>20.8</v>
      </c>
      <c r="F22" s="290">
        <v>6720</v>
      </c>
      <c r="G22" s="290">
        <v>3850</v>
      </c>
      <c r="H22" s="290" t="s">
        <v>46</v>
      </c>
      <c r="I22" s="290">
        <v>17.8</v>
      </c>
      <c r="J22" s="290">
        <v>8.4</v>
      </c>
      <c r="K22" s="290" t="s">
        <v>46</v>
      </c>
      <c r="L22" s="290">
        <v>1.5</v>
      </c>
      <c r="M22" s="290">
        <v>1.3</v>
      </c>
      <c r="N22" s="290" t="s">
        <v>46</v>
      </c>
      <c r="O22" s="290">
        <v>1.8</v>
      </c>
      <c r="P22" s="290">
        <v>59800</v>
      </c>
      <c r="Q22" s="290">
        <f t="shared" si="1"/>
        <v>70421.599999999991</v>
      </c>
      <c r="R22" s="270"/>
      <c r="S22" s="270"/>
      <c r="T22" s="270"/>
      <c r="U22" s="271"/>
      <c r="V22" s="280"/>
    </row>
    <row r="23" spans="1:22">
      <c r="A23" s="287">
        <v>1</v>
      </c>
      <c r="B23" s="288" t="s">
        <v>2</v>
      </c>
      <c r="C23" s="289">
        <v>2</v>
      </c>
      <c r="D23" s="359">
        <v>45811</v>
      </c>
      <c r="E23" s="290">
        <v>69</v>
      </c>
      <c r="F23" s="290">
        <v>35800</v>
      </c>
      <c r="G23" s="290">
        <v>5560</v>
      </c>
      <c r="H23" s="290" t="s">
        <v>46</v>
      </c>
      <c r="I23" s="290">
        <v>19.5</v>
      </c>
      <c r="J23" s="290">
        <v>7.1</v>
      </c>
      <c r="K23" s="290" t="s">
        <v>46</v>
      </c>
      <c r="L23" s="290">
        <v>2.8</v>
      </c>
      <c r="M23" s="290">
        <v>1.1000000000000001</v>
      </c>
      <c r="N23" s="290" t="s">
        <v>46</v>
      </c>
      <c r="O23" s="290" t="s">
        <v>46</v>
      </c>
      <c r="P23" s="290">
        <v>69900</v>
      </c>
      <c r="Q23" s="290">
        <f t="shared" si="1"/>
        <v>111359.5</v>
      </c>
      <c r="R23" s="270"/>
      <c r="S23" s="270"/>
      <c r="T23" s="270"/>
      <c r="U23" s="271"/>
      <c r="V23" s="280"/>
    </row>
    <row r="24" spans="1:22">
      <c r="A24" s="287">
        <v>1</v>
      </c>
      <c r="B24" s="288" t="s">
        <v>2</v>
      </c>
      <c r="C24" s="289">
        <v>2</v>
      </c>
      <c r="D24" s="359">
        <v>45792</v>
      </c>
      <c r="E24" s="290">
        <v>56.3</v>
      </c>
      <c r="F24" s="290">
        <v>36400</v>
      </c>
      <c r="G24" s="290">
        <v>5410</v>
      </c>
      <c r="H24" s="290" t="s">
        <v>46</v>
      </c>
      <c r="I24" s="290">
        <v>16.399999999999999</v>
      </c>
      <c r="J24" s="290">
        <v>7</v>
      </c>
      <c r="K24" s="290" t="s">
        <v>46</v>
      </c>
      <c r="L24" s="290">
        <v>4</v>
      </c>
      <c r="M24" s="290">
        <v>1</v>
      </c>
      <c r="N24" s="290" t="s">
        <v>46</v>
      </c>
      <c r="O24" s="290" t="s">
        <v>46</v>
      </c>
      <c r="P24" s="290">
        <v>105000</v>
      </c>
      <c r="Q24" s="290">
        <f>SUM(E24:P24)</f>
        <v>146894.70000000001</v>
      </c>
      <c r="R24" s="270">
        <v>2.5</v>
      </c>
      <c r="S24" s="270">
        <v>3010</v>
      </c>
      <c r="T24" s="270">
        <v>2750</v>
      </c>
      <c r="U24" s="271"/>
      <c r="V24" s="280"/>
    </row>
    <row r="25" spans="1:22">
      <c r="A25" s="287">
        <v>1</v>
      </c>
      <c r="B25" s="288" t="s">
        <v>2</v>
      </c>
      <c r="C25" s="289">
        <v>2</v>
      </c>
      <c r="D25" s="359">
        <v>45384</v>
      </c>
      <c r="E25" s="290">
        <v>152</v>
      </c>
      <c r="F25" s="290">
        <v>68100</v>
      </c>
      <c r="G25" s="290">
        <v>8800</v>
      </c>
      <c r="H25" s="290" t="s">
        <v>46</v>
      </c>
      <c r="I25" s="290">
        <v>19.100000000000001</v>
      </c>
      <c r="J25" s="290">
        <v>9.6</v>
      </c>
      <c r="K25" s="290" t="s">
        <v>46</v>
      </c>
      <c r="L25" s="290">
        <v>2.6</v>
      </c>
      <c r="M25" s="290">
        <v>3.1</v>
      </c>
      <c r="N25" s="290">
        <v>1.1000000000000001</v>
      </c>
      <c r="O25" s="290" t="s">
        <v>46</v>
      </c>
      <c r="P25" s="290">
        <v>134000</v>
      </c>
      <c r="Q25" s="290">
        <f t="shared" si="1"/>
        <v>211087.50000000003</v>
      </c>
      <c r="R25" s="270"/>
      <c r="S25" s="270"/>
      <c r="T25" s="270">
        <v>9600</v>
      </c>
      <c r="U25" s="271" t="s">
        <v>101</v>
      </c>
      <c r="V25" s="280"/>
    </row>
    <row r="26" spans="1:22">
      <c r="A26" s="287">
        <v>1</v>
      </c>
      <c r="B26" s="288" t="s">
        <v>2</v>
      </c>
      <c r="C26" s="289">
        <v>2</v>
      </c>
      <c r="D26" s="359">
        <v>45357</v>
      </c>
      <c r="E26" s="290">
        <v>182</v>
      </c>
      <c r="F26" s="290">
        <v>74700</v>
      </c>
      <c r="G26" s="290">
        <v>7650</v>
      </c>
      <c r="H26" s="290">
        <v>1.8</v>
      </c>
      <c r="I26" s="290">
        <v>19.100000000000001</v>
      </c>
      <c r="J26" s="290">
        <v>10.7</v>
      </c>
      <c r="K26" s="290" t="s">
        <v>46</v>
      </c>
      <c r="L26" s="290">
        <v>24.3</v>
      </c>
      <c r="M26" s="290">
        <v>3.2</v>
      </c>
      <c r="N26" s="290">
        <v>1.2</v>
      </c>
      <c r="O26" s="290">
        <v>2</v>
      </c>
      <c r="P26" s="290">
        <v>132000</v>
      </c>
      <c r="Q26" s="290">
        <f t="shared" si="1"/>
        <v>214594.3</v>
      </c>
      <c r="R26" s="270"/>
      <c r="S26" s="270"/>
      <c r="T26" s="270">
        <v>6730</v>
      </c>
      <c r="U26" s="271" t="s">
        <v>101</v>
      </c>
      <c r="V26" s="280"/>
    </row>
    <row r="27" spans="1:22">
      <c r="A27" s="287">
        <v>1</v>
      </c>
      <c r="B27" s="288" t="s">
        <v>2</v>
      </c>
      <c r="C27" s="289">
        <v>2</v>
      </c>
      <c r="D27" s="359">
        <v>45328</v>
      </c>
      <c r="E27" s="290">
        <v>423</v>
      </c>
      <c r="F27" s="290">
        <v>164000</v>
      </c>
      <c r="G27" s="290">
        <v>10900</v>
      </c>
      <c r="H27" s="290">
        <v>1.9</v>
      </c>
      <c r="I27" s="290">
        <v>24.9</v>
      </c>
      <c r="J27" s="290">
        <v>23.1</v>
      </c>
      <c r="K27" s="290" t="s">
        <v>46</v>
      </c>
      <c r="L27" s="290">
        <v>9.9</v>
      </c>
      <c r="M27" s="290">
        <v>5.5</v>
      </c>
      <c r="N27" s="290">
        <v>2.2000000000000002</v>
      </c>
      <c r="O27" s="290" t="s">
        <v>46</v>
      </c>
      <c r="P27" s="290">
        <v>107000</v>
      </c>
      <c r="Q27" s="290">
        <f>SUM(E27:P27)</f>
        <v>282390.5</v>
      </c>
      <c r="R27" s="270"/>
      <c r="S27" s="270"/>
      <c r="T27" s="270">
        <v>12600</v>
      </c>
      <c r="U27" s="271" t="s">
        <v>101</v>
      </c>
      <c r="V27" s="280"/>
    </row>
    <row r="28" spans="1:22">
      <c r="A28" s="287">
        <v>1</v>
      </c>
      <c r="B28" s="288" t="s">
        <v>2</v>
      </c>
      <c r="C28" s="289">
        <v>2</v>
      </c>
      <c r="D28" s="359">
        <v>45300</v>
      </c>
      <c r="E28" s="290">
        <v>581</v>
      </c>
      <c r="F28" s="290">
        <v>224000</v>
      </c>
      <c r="G28" s="290">
        <v>15700</v>
      </c>
      <c r="H28" s="290">
        <v>1.3</v>
      </c>
      <c r="I28" s="290">
        <v>33.9</v>
      </c>
      <c r="J28" s="290">
        <v>37</v>
      </c>
      <c r="K28" s="290">
        <v>1.1000000000000001</v>
      </c>
      <c r="L28" s="290">
        <v>28.8</v>
      </c>
      <c r="M28" s="290">
        <v>5.9</v>
      </c>
      <c r="N28" s="290">
        <v>2.4</v>
      </c>
      <c r="O28" s="290">
        <v>2.2000000000000002</v>
      </c>
      <c r="P28" s="290">
        <v>141000</v>
      </c>
      <c r="Q28" s="290">
        <f>SUM(E28:P28)</f>
        <v>381393.6</v>
      </c>
      <c r="R28" s="270"/>
      <c r="S28" s="270"/>
      <c r="T28" s="270">
        <v>21100</v>
      </c>
      <c r="U28" s="271" t="s">
        <v>101</v>
      </c>
      <c r="V28" s="280"/>
    </row>
    <row r="29" spans="1:22">
      <c r="A29" s="287">
        <v>1</v>
      </c>
      <c r="B29" s="288" t="s">
        <v>2</v>
      </c>
      <c r="C29" s="289">
        <v>2</v>
      </c>
      <c r="D29" s="359">
        <v>45209</v>
      </c>
      <c r="E29" s="290">
        <v>514</v>
      </c>
      <c r="F29" s="290">
        <v>260000</v>
      </c>
      <c r="G29" s="290">
        <v>16100</v>
      </c>
      <c r="H29" s="290">
        <v>19.100000000000001</v>
      </c>
      <c r="I29" s="290">
        <v>36.299999999999997</v>
      </c>
      <c r="J29" s="290">
        <v>23.6</v>
      </c>
      <c r="K29" s="290">
        <v>1.3</v>
      </c>
      <c r="L29" s="290">
        <v>12</v>
      </c>
      <c r="M29" s="290">
        <v>5.2</v>
      </c>
      <c r="N29" s="290">
        <v>1.2</v>
      </c>
      <c r="O29" s="290" t="s">
        <v>46</v>
      </c>
      <c r="P29" s="290">
        <v>171000</v>
      </c>
      <c r="Q29" s="290">
        <f t="shared" ref="Q29:Q92" si="2">SUM(E29:P29)</f>
        <v>447712.69999999995</v>
      </c>
      <c r="R29" s="270"/>
      <c r="S29" s="270"/>
      <c r="T29" s="270">
        <v>12400</v>
      </c>
      <c r="U29" s="271" t="s">
        <v>101</v>
      </c>
      <c r="V29" s="280"/>
    </row>
    <row r="30" spans="1:22">
      <c r="A30" s="287">
        <v>1</v>
      </c>
      <c r="B30" s="288" t="s">
        <v>2</v>
      </c>
      <c r="C30" s="289">
        <v>2</v>
      </c>
      <c r="D30" s="359">
        <v>45181</v>
      </c>
      <c r="E30" s="290">
        <v>806</v>
      </c>
      <c r="F30" s="290">
        <v>248000</v>
      </c>
      <c r="G30" s="290">
        <v>15000</v>
      </c>
      <c r="H30" s="290" t="s">
        <v>46</v>
      </c>
      <c r="I30" s="290">
        <v>35.200000000000003</v>
      </c>
      <c r="J30" s="290">
        <v>34.799999999999997</v>
      </c>
      <c r="K30" s="290" t="s">
        <v>46</v>
      </c>
      <c r="L30" s="290">
        <v>4.5999999999999996</v>
      </c>
      <c r="M30" s="290">
        <v>4.3</v>
      </c>
      <c r="N30" s="290">
        <v>1.9</v>
      </c>
      <c r="O30" s="290" t="s">
        <v>46</v>
      </c>
      <c r="P30" s="290">
        <v>94600</v>
      </c>
      <c r="Q30" s="290">
        <f t="shared" si="2"/>
        <v>358486.8</v>
      </c>
      <c r="R30" s="270"/>
      <c r="S30" s="270"/>
      <c r="T30" s="270">
        <v>16500</v>
      </c>
      <c r="U30" s="271" t="s">
        <v>101</v>
      </c>
      <c r="V30" s="280"/>
    </row>
    <row r="31" spans="1:22">
      <c r="A31" s="287">
        <v>1</v>
      </c>
      <c r="B31" s="288" t="s">
        <v>2</v>
      </c>
      <c r="C31" s="289">
        <v>2</v>
      </c>
      <c r="D31" s="359">
        <v>45160</v>
      </c>
      <c r="E31" s="290">
        <v>1110</v>
      </c>
      <c r="F31" s="290">
        <v>595000</v>
      </c>
      <c r="G31" s="290">
        <v>23300</v>
      </c>
      <c r="H31" s="290" t="s">
        <v>46</v>
      </c>
      <c r="I31" s="290">
        <v>39.9</v>
      </c>
      <c r="J31" s="290">
        <v>124</v>
      </c>
      <c r="K31" s="290">
        <v>2.2999999999999998</v>
      </c>
      <c r="L31" s="290">
        <v>9.3000000000000007</v>
      </c>
      <c r="M31" s="290">
        <v>5.3</v>
      </c>
      <c r="N31" s="290">
        <v>2.4</v>
      </c>
      <c r="O31" s="290" t="s">
        <v>46</v>
      </c>
      <c r="P31" s="290">
        <v>196000</v>
      </c>
      <c r="Q31" s="290">
        <f t="shared" si="2"/>
        <v>815593.20000000019</v>
      </c>
      <c r="R31" s="273"/>
      <c r="S31" s="273"/>
      <c r="T31" s="270">
        <v>11700</v>
      </c>
      <c r="U31" s="271" t="s">
        <v>101</v>
      </c>
      <c r="V31" s="280"/>
    </row>
    <row r="32" spans="1:22">
      <c r="A32" s="287">
        <v>1</v>
      </c>
      <c r="B32" s="288" t="s">
        <v>2</v>
      </c>
      <c r="C32" s="289">
        <v>2</v>
      </c>
      <c r="D32" s="359">
        <v>45118</v>
      </c>
      <c r="E32" s="290">
        <v>535</v>
      </c>
      <c r="F32" s="290">
        <v>221000</v>
      </c>
      <c r="G32" s="290">
        <v>10400</v>
      </c>
      <c r="H32" s="290">
        <v>4.5</v>
      </c>
      <c r="I32" s="290">
        <v>26.4</v>
      </c>
      <c r="J32" s="290">
        <v>41.3</v>
      </c>
      <c r="K32" s="290">
        <v>1.2</v>
      </c>
      <c r="L32" s="290">
        <v>29.3</v>
      </c>
      <c r="M32" s="290">
        <v>4.5</v>
      </c>
      <c r="N32" s="290">
        <v>1.6</v>
      </c>
      <c r="O32" s="290">
        <v>3.6</v>
      </c>
      <c r="P32" s="290">
        <v>85200</v>
      </c>
      <c r="Q32" s="290">
        <f t="shared" si="2"/>
        <v>317247.40000000002</v>
      </c>
      <c r="R32" s="270"/>
      <c r="S32" s="270"/>
      <c r="T32" s="270"/>
      <c r="U32" s="271" t="s">
        <v>101</v>
      </c>
      <c r="V32" s="280"/>
    </row>
    <row r="33" spans="1:22">
      <c r="A33" s="287">
        <v>1</v>
      </c>
      <c r="B33" s="288" t="s">
        <v>2</v>
      </c>
      <c r="C33" s="289">
        <v>2</v>
      </c>
      <c r="D33" s="359">
        <v>45097</v>
      </c>
      <c r="E33" s="290">
        <v>459</v>
      </c>
      <c r="F33" s="290">
        <v>172000</v>
      </c>
      <c r="G33" s="290">
        <v>10300</v>
      </c>
      <c r="H33" s="290" t="s">
        <v>46</v>
      </c>
      <c r="I33" s="290">
        <v>23.9</v>
      </c>
      <c r="J33" s="290">
        <v>108</v>
      </c>
      <c r="K33" s="290">
        <v>1.5</v>
      </c>
      <c r="L33" s="290">
        <v>3.2</v>
      </c>
      <c r="M33" s="290">
        <v>3.7</v>
      </c>
      <c r="N33" s="290">
        <v>1.3</v>
      </c>
      <c r="O33" s="290" t="s">
        <v>46</v>
      </c>
      <c r="P33" s="290">
        <v>64400</v>
      </c>
      <c r="Q33" s="290">
        <f t="shared" si="2"/>
        <v>247300.6</v>
      </c>
      <c r="R33" s="273"/>
      <c r="S33" s="273"/>
      <c r="T33" s="270">
        <v>11800</v>
      </c>
      <c r="U33" s="271" t="s">
        <v>101</v>
      </c>
      <c r="V33" s="280"/>
    </row>
    <row r="34" spans="1:22">
      <c r="A34" s="287">
        <v>1</v>
      </c>
      <c r="B34" s="288" t="s">
        <v>2</v>
      </c>
      <c r="C34" s="289">
        <v>2</v>
      </c>
      <c r="D34" s="359">
        <v>45062</v>
      </c>
      <c r="E34" s="290">
        <v>132</v>
      </c>
      <c r="F34" s="290">
        <v>66600</v>
      </c>
      <c r="G34" s="290">
        <v>5370</v>
      </c>
      <c r="H34" s="290" t="s">
        <v>46</v>
      </c>
      <c r="I34" s="290">
        <v>13.3</v>
      </c>
      <c r="J34" s="290">
        <v>20.9</v>
      </c>
      <c r="K34" s="290" t="s">
        <v>46</v>
      </c>
      <c r="L34" s="290">
        <v>2</v>
      </c>
      <c r="M34" s="290">
        <v>2</v>
      </c>
      <c r="N34" s="290" t="s">
        <v>46</v>
      </c>
      <c r="O34" s="290" t="s">
        <v>46</v>
      </c>
      <c r="P34" s="290">
        <v>80900</v>
      </c>
      <c r="Q34" s="290">
        <f t="shared" si="2"/>
        <v>153040.20000000001</v>
      </c>
      <c r="R34" s="273"/>
      <c r="S34" s="273"/>
      <c r="T34" s="270"/>
      <c r="U34" s="271"/>
      <c r="V34" s="280"/>
    </row>
    <row r="35" spans="1:22">
      <c r="A35" s="287">
        <v>1</v>
      </c>
      <c r="B35" s="288" t="s">
        <v>2</v>
      </c>
      <c r="C35" s="289">
        <v>2</v>
      </c>
      <c r="D35" s="359">
        <v>45006</v>
      </c>
      <c r="E35" s="290">
        <v>120</v>
      </c>
      <c r="F35" s="290">
        <v>40700</v>
      </c>
      <c r="G35" s="290">
        <v>4190</v>
      </c>
      <c r="H35" s="290" t="s">
        <v>46</v>
      </c>
      <c r="I35" s="290">
        <v>12.1</v>
      </c>
      <c r="J35" s="290">
        <v>15.4</v>
      </c>
      <c r="K35" s="290" t="s">
        <v>46</v>
      </c>
      <c r="L35" s="290">
        <v>3.5</v>
      </c>
      <c r="M35" s="290">
        <v>1.2</v>
      </c>
      <c r="N35" s="290" t="s">
        <v>46</v>
      </c>
      <c r="O35" s="290" t="s">
        <v>46</v>
      </c>
      <c r="P35" s="290">
        <v>66700</v>
      </c>
      <c r="Q35" s="290">
        <f t="shared" si="2"/>
        <v>111742.2</v>
      </c>
      <c r="R35" s="273"/>
      <c r="S35" s="273"/>
      <c r="T35" s="270">
        <v>13800</v>
      </c>
      <c r="U35" s="271" t="s">
        <v>101</v>
      </c>
      <c r="V35" s="280"/>
    </row>
    <row r="36" spans="1:22">
      <c r="A36" s="287">
        <v>1</v>
      </c>
      <c r="B36" s="288" t="s">
        <v>2</v>
      </c>
      <c r="C36" s="289">
        <v>2</v>
      </c>
      <c r="D36" s="359">
        <v>44796</v>
      </c>
      <c r="E36" s="290">
        <v>54.4</v>
      </c>
      <c r="F36" s="290">
        <v>20400</v>
      </c>
      <c r="G36" s="290">
        <v>5130</v>
      </c>
      <c r="H36" s="290" t="s">
        <v>46</v>
      </c>
      <c r="I36" s="290">
        <v>9.9</v>
      </c>
      <c r="J36" s="290">
        <v>9.1</v>
      </c>
      <c r="K36" s="290" t="s">
        <v>46</v>
      </c>
      <c r="L36" s="290" t="s">
        <v>46</v>
      </c>
      <c r="M36" s="290" t="s">
        <v>46</v>
      </c>
      <c r="N36" s="290" t="s">
        <v>46</v>
      </c>
      <c r="O36" s="290">
        <v>2.2999999999999998</v>
      </c>
      <c r="P36" s="290">
        <v>96900</v>
      </c>
      <c r="Q36" s="290">
        <f t="shared" si="2"/>
        <v>122505.7</v>
      </c>
      <c r="R36" s="270"/>
      <c r="S36" s="270"/>
      <c r="T36" s="270">
        <v>20500</v>
      </c>
      <c r="U36" s="271" t="s">
        <v>101</v>
      </c>
      <c r="V36" s="280"/>
    </row>
    <row r="37" spans="1:22">
      <c r="A37" s="287">
        <v>1</v>
      </c>
      <c r="B37" s="288" t="s">
        <v>2</v>
      </c>
      <c r="C37" s="289">
        <v>2</v>
      </c>
      <c r="D37" s="359">
        <v>44720</v>
      </c>
      <c r="E37" s="290">
        <v>923</v>
      </c>
      <c r="F37" s="290">
        <v>236000</v>
      </c>
      <c r="G37" s="290">
        <v>24300</v>
      </c>
      <c r="H37" s="290">
        <v>5.7</v>
      </c>
      <c r="I37" s="290">
        <v>54.1</v>
      </c>
      <c r="J37" s="290">
        <v>38.6</v>
      </c>
      <c r="K37" s="290">
        <v>1</v>
      </c>
      <c r="L37" s="290">
        <v>16.5</v>
      </c>
      <c r="M37" s="290">
        <v>2.4</v>
      </c>
      <c r="N37" s="290" t="s">
        <v>46</v>
      </c>
      <c r="O37" s="290" t="s">
        <v>46</v>
      </c>
      <c r="P37" s="290">
        <v>467000</v>
      </c>
      <c r="Q37" s="290">
        <f t="shared" si="2"/>
        <v>728341.3</v>
      </c>
      <c r="R37" s="270"/>
      <c r="S37" s="270"/>
      <c r="T37" s="270">
        <v>20200</v>
      </c>
      <c r="U37" s="271" t="s">
        <v>101</v>
      </c>
      <c r="V37" s="280"/>
    </row>
    <row r="38" spans="1:22">
      <c r="A38" s="287">
        <v>1</v>
      </c>
      <c r="B38" s="288" t="s">
        <v>2</v>
      </c>
      <c r="C38" s="289">
        <v>2</v>
      </c>
      <c r="D38" s="359">
        <v>44704</v>
      </c>
      <c r="E38" s="290">
        <v>475</v>
      </c>
      <c r="F38" s="290">
        <v>152000</v>
      </c>
      <c r="G38" s="290">
        <v>14600</v>
      </c>
      <c r="H38" s="290">
        <v>5.3</v>
      </c>
      <c r="I38" s="290">
        <v>28.3</v>
      </c>
      <c r="J38" s="290">
        <v>28.9</v>
      </c>
      <c r="K38" s="290" t="s">
        <v>46</v>
      </c>
      <c r="L38" s="290">
        <v>3.5</v>
      </c>
      <c r="M38" s="290">
        <v>2</v>
      </c>
      <c r="N38" s="290" t="s">
        <v>46</v>
      </c>
      <c r="O38" s="290" t="s">
        <v>46</v>
      </c>
      <c r="P38" s="290">
        <v>343000</v>
      </c>
      <c r="Q38" s="290">
        <f t="shared" si="2"/>
        <v>510143</v>
      </c>
      <c r="R38" s="270">
        <v>0.8</v>
      </c>
      <c r="S38" s="270">
        <v>2610</v>
      </c>
      <c r="T38" s="270">
        <v>25100</v>
      </c>
      <c r="U38" s="271" t="s">
        <v>101</v>
      </c>
      <c r="V38" s="280"/>
    </row>
    <row r="39" spans="1:22">
      <c r="A39" s="287">
        <v>1</v>
      </c>
      <c r="B39" s="288" t="s">
        <v>2</v>
      </c>
      <c r="C39" s="289">
        <v>2</v>
      </c>
      <c r="D39" s="359">
        <v>44676</v>
      </c>
      <c r="E39" s="290">
        <v>437</v>
      </c>
      <c r="F39" s="290">
        <v>77400</v>
      </c>
      <c r="G39" s="290">
        <v>15100</v>
      </c>
      <c r="H39" s="290">
        <v>5.0999999999999996</v>
      </c>
      <c r="I39" s="290">
        <v>38.200000000000003</v>
      </c>
      <c r="J39" s="290">
        <v>9</v>
      </c>
      <c r="K39" s="290" t="s">
        <v>46</v>
      </c>
      <c r="L39" s="290">
        <v>26.8</v>
      </c>
      <c r="M39" s="290">
        <v>1.4</v>
      </c>
      <c r="N39" s="290" t="s">
        <v>46</v>
      </c>
      <c r="O39" s="290" t="s">
        <v>46</v>
      </c>
      <c r="P39" s="290">
        <v>288000</v>
      </c>
      <c r="Q39" s="290">
        <f t="shared" si="2"/>
        <v>381017.5</v>
      </c>
      <c r="R39" s="270"/>
      <c r="S39" s="270"/>
      <c r="T39" s="270"/>
      <c r="U39" s="271"/>
      <c r="V39" s="280"/>
    </row>
    <row r="40" spans="1:22">
      <c r="A40" s="287">
        <v>1</v>
      </c>
      <c r="B40" s="288" t="s">
        <v>2</v>
      </c>
      <c r="C40" s="289">
        <v>2</v>
      </c>
      <c r="D40" s="359">
        <v>44641</v>
      </c>
      <c r="E40" s="290">
        <v>451</v>
      </c>
      <c r="F40" s="290">
        <v>114000</v>
      </c>
      <c r="G40" s="290">
        <v>8660</v>
      </c>
      <c r="H40" s="290">
        <v>2.7</v>
      </c>
      <c r="I40" s="290">
        <v>17.2</v>
      </c>
      <c r="J40" s="290">
        <v>18.2</v>
      </c>
      <c r="K40" s="290" t="s">
        <v>46</v>
      </c>
      <c r="L40" s="290">
        <v>5.6</v>
      </c>
      <c r="M40" s="290">
        <v>3.6</v>
      </c>
      <c r="N40" s="290" t="s">
        <v>46</v>
      </c>
      <c r="O40" s="290" t="s">
        <v>46</v>
      </c>
      <c r="P40" s="290">
        <v>124000</v>
      </c>
      <c r="Q40" s="290">
        <f t="shared" si="2"/>
        <v>247158.3</v>
      </c>
      <c r="R40" s="270"/>
      <c r="S40" s="270"/>
      <c r="T40" s="270">
        <v>16100</v>
      </c>
      <c r="U40" s="271" t="s">
        <v>101</v>
      </c>
      <c r="V40" s="280"/>
    </row>
    <row r="41" spans="1:22">
      <c r="A41" s="287">
        <v>1</v>
      </c>
      <c r="B41" s="288" t="s">
        <v>2</v>
      </c>
      <c r="C41" s="289">
        <v>2</v>
      </c>
      <c r="D41" s="359">
        <v>44613</v>
      </c>
      <c r="E41" s="290">
        <v>2.5</v>
      </c>
      <c r="F41" s="290">
        <v>896</v>
      </c>
      <c r="G41" s="290">
        <v>367</v>
      </c>
      <c r="H41" s="290" t="s">
        <v>46</v>
      </c>
      <c r="I41" s="290">
        <v>2.5</v>
      </c>
      <c r="J41" s="290">
        <v>1.4</v>
      </c>
      <c r="K41" s="290" t="s">
        <v>46</v>
      </c>
      <c r="L41" s="290" t="s">
        <v>46</v>
      </c>
      <c r="M41" s="290" t="s">
        <v>46</v>
      </c>
      <c r="N41" s="290" t="s">
        <v>46</v>
      </c>
      <c r="O41" s="290" t="s">
        <v>46</v>
      </c>
      <c r="P41" s="290">
        <v>4740</v>
      </c>
      <c r="Q41" s="290">
        <f t="shared" si="2"/>
        <v>6009.4</v>
      </c>
      <c r="R41" s="270"/>
      <c r="S41" s="270"/>
      <c r="T41" s="270">
        <v>6590</v>
      </c>
      <c r="U41" s="271" t="s">
        <v>101</v>
      </c>
      <c r="V41" s="280"/>
    </row>
    <row r="42" spans="1:22">
      <c r="A42" s="287">
        <v>1</v>
      </c>
      <c r="B42" s="288" t="s">
        <v>2</v>
      </c>
      <c r="C42" s="289">
        <v>2</v>
      </c>
      <c r="D42" s="359">
        <v>44593</v>
      </c>
      <c r="E42" s="290">
        <v>6.5</v>
      </c>
      <c r="F42" s="290">
        <v>4110</v>
      </c>
      <c r="G42" s="290">
        <v>548</v>
      </c>
      <c r="H42" s="290" t="s">
        <v>46</v>
      </c>
      <c r="I42" s="290">
        <v>2.9</v>
      </c>
      <c r="J42" s="290">
        <v>2.5</v>
      </c>
      <c r="K42" s="290" t="s">
        <v>46</v>
      </c>
      <c r="L42" s="290" t="s">
        <v>46</v>
      </c>
      <c r="M42" s="290" t="s">
        <v>46</v>
      </c>
      <c r="N42" s="290" t="s">
        <v>46</v>
      </c>
      <c r="O42" s="290" t="s">
        <v>46</v>
      </c>
      <c r="P42" s="290">
        <v>9180</v>
      </c>
      <c r="Q42" s="290">
        <f t="shared" si="2"/>
        <v>13849.9</v>
      </c>
      <c r="R42" s="270"/>
      <c r="S42" s="270"/>
      <c r="T42" s="270">
        <v>5690</v>
      </c>
      <c r="U42" s="271" t="s">
        <v>101</v>
      </c>
      <c r="V42" s="280"/>
    </row>
    <row r="43" spans="1:22">
      <c r="A43" s="287">
        <v>1</v>
      </c>
      <c r="B43" s="288" t="s">
        <v>2</v>
      </c>
      <c r="C43" s="289">
        <v>2</v>
      </c>
      <c r="D43" s="359">
        <v>44543</v>
      </c>
      <c r="E43" s="290">
        <v>9.8000000000000007</v>
      </c>
      <c r="F43" s="290">
        <v>5840</v>
      </c>
      <c r="G43" s="290">
        <v>661</v>
      </c>
      <c r="H43" s="290" t="s">
        <v>46</v>
      </c>
      <c r="I43" s="290">
        <v>3.1</v>
      </c>
      <c r="J43" s="290">
        <v>3.3</v>
      </c>
      <c r="K43" s="290" t="s">
        <v>46</v>
      </c>
      <c r="L43" s="290">
        <v>1.4</v>
      </c>
      <c r="M43" s="290" t="s">
        <v>46</v>
      </c>
      <c r="N43" s="290" t="s">
        <v>46</v>
      </c>
      <c r="O43" s="290" t="s">
        <v>46</v>
      </c>
      <c r="P43" s="290">
        <v>10100</v>
      </c>
      <c r="Q43" s="290">
        <f t="shared" si="2"/>
        <v>16618.599999999999</v>
      </c>
      <c r="R43" s="270"/>
      <c r="S43" s="270"/>
      <c r="T43" s="270">
        <v>5100</v>
      </c>
      <c r="U43" s="271"/>
      <c r="V43" s="280"/>
    </row>
    <row r="44" spans="1:22">
      <c r="A44" s="287">
        <v>1</v>
      </c>
      <c r="B44" s="288" t="s">
        <v>2</v>
      </c>
      <c r="C44" s="289">
        <v>2</v>
      </c>
      <c r="D44" s="359">
        <v>44515</v>
      </c>
      <c r="E44" s="290">
        <v>23.9</v>
      </c>
      <c r="F44" s="290">
        <v>11000</v>
      </c>
      <c r="G44" s="290">
        <v>913</v>
      </c>
      <c r="H44" s="290" t="s">
        <v>46</v>
      </c>
      <c r="I44" s="290">
        <v>4.2</v>
      </c>
      <c r="J44" s="290">
        <v>5.5</v>
      </c>
      <c r="K44" s="290" t="s">
        <v>46</v>
      </c>
      <c r="L44" s="290">
        <v>5</v>
      </c>
      <c r="M44" s="290" t="s">
        <v>46</v>
      </c>
      <c r="N44" s="290" t="s">
        <v>46</v>
      </c>
      <c r="O44" s="290" t="s">
        <v>46</v>
      </c>
      <c r="P44" s="290">
        <v>16400</v>
      </c>
      <c r="Q44" s="290">
        <f t="shared" si="2"/>
        <v>28351.599999999999</v>
      </c>
      <c r="R44" s="270"/>
      <c r="S44" s="270"/>
      <c r="T44" s="270">
        <v>4830</v>
      </c>
      <c r="U44" s="271" t="s">
        <v>101</v>
      </c>
      <c r="V44" s="280"/>
    </row>
    <row r="45" spans="1:22">
      <c r="A45" s="287">
        <v>1</v>
      </c>
      <c r="B45" s="288" t="s">
        <v>2</v>
      </c>
      <c r="C45" s="289">
        <v>2</v>
      </c>
      <c r="D45" s="359">
        <v>44489</v>
      </c>
      <c r="E45" s="290">
        <v>5.4</v>
      </c>
      <c r="F45" s="290">
        <v>3020</v>
      </c>
      <c r="G45" s="290">
        <v>702</v>
      </c>
      <c r="H45" s="290" t="s">
        <v>46</v>
      </c>
      <c r="I45" s="290">
        <v>3.3</v>
      </c>
      <c r="J45" s="290">
        <v>4.2</v>
      </c>
      <c r="K45" s="290" t="s">
        <v>46</v>
      </c>
      <c r="L45" s="290">
        <v>4.4000000000000004</v>
      </c>
      <c r="M45" s="290" t="s">
        <v>46</v>
      </c>
      <c r="N45" s="290" t="s">
        <v>46</v>
      </c>
      <c r="O45" s="290" t="s">
        <v>46</v>
      </c>
      <c r="P45" s="290">
        <v>6490</v>
      </c>
      <c r="Q45" s="290">
        <f t="shared" si="2"/>
        <v>10229.299999999999</v>
      </c>
      <c r="R45" s="270"/>
      <c r="S45" s="270"/>
      <c r="T45" s="270"/>
      <c r="U45" s="271"/>
      <c r="V45" s="280"/>
    </row>
    <row r="46" spans="1:22">
      <c r="A46" s="287">
        <v>1</v>
      </c>
      <c r="B46" s="288" t="s">
        <v>2</v>
      </c>
      <c r="C46" s="289">
        <v>2</v>
      </c>
      <c r="D46" s="359">
        <v>44466</v>
      </c>
      <c r="E46" s="290">
        <v>29.5</v>
      </c>
      <c r="F46" s="290">
        <v>10700</v>
      </c>
      <c r="G46" s="290">
        <v>1130</v>
      </c>
      <c r="H46" s="290" t="s">
        <v>46</v>
      </c>
      <c r="I46" s="290">
        <v>5</v>
      </c>
      <c r="J46" s="290">
        <v>7.2</v>
      </c>
      <c r="K46" s="290" t="s">
        <v>46</v>
      </c>
      <c r="L46" s="290">
        <v>1.3</v>
      </c>
      <c r="M46" s="290" t="s">
        <v>46</v>
      </c>
      <c r="N46" s="290" t="s">
        <v>46</v>
      </c>
      <c r="O46" s="290" t="s">
        <v>46</v>
      </c>
      <c r="P46" s="290">
        <v>10900</v>
      </c>
      <c r="Q46" s="290">
        <f t="shared" si="2"/>
        <v>22773</v>
      </c>
      <c r="R46" s="270"/>
      <c r="S46" s="270"/>
      <c r="T46" s="270"/>
      <c r="U46" s="271"/>
      <c r="V46" s="280"/>
    </row>
    <row r="47" spans="1:22">
      <c r="A47" s="287">
        <v>1</v>
      </c>
      <c r="B47" s="288" t="s">
        <v>2</v>
      </c>
      <c r="C47" s="289">
        <v>2</v>
      </c>
      <c r="D47" s="359">
        <v>44431</v>
      </c>
      <c r="E47" s="290">
        <v>46.3</v>
      </c>
      <c r="F47" s="290">
        <v>17300</v>
      </c>
      <c r="G47" s="290">
        <v>1180</v>
      </c>
      <c r="H47" s="290" t="s">
        <v>46</v>
      </c>
      <c r="I47" s="290">
        <v>5.7</v>
      </c>
      <c r="J47" s="290">
        <v>15.9</v>
      </c>
      <c r="K47" s="290" t="s">
        <v>46</v>
      </c>
      <c r="L47" s="290">
        <v>9.6999999999999993</v>
      </c>
      <c r="M47" s="290">
        <v>2.8</v>
      </c>
      <c r="N47" s="290" t="s">
        <v>46</v>
      </c>
      <c r="O47" s="290" t="s">
        <v>46</v>
      </c>
      <c r="P47" s="290">
        <v>8420</v>
      </c>
      <c r="Q47" s="290">
        <f t="shared" si="2"/>
        <v>26980.400000000001</v>
      </c>
      <c r="R47" s="270"/>
      <c r="S47" s="270"/>
      <c r="T47" s="270"/>
      <c r="U47" s="271"/>
      <c r="V47" s="280"/>
    </row>
    <row r="48" spans="1:22">
      <c r="A48" s="287">
        <v>1</v>
      </c>
      <c r="B48" s="288" t="s">
        <v>2</v>
      </c>
      <c r="C48" s="289">
        <v>2</v>
      </c>
      <c r="D48" s="359">
        <v>44410</v>
      </c>
      <c r="E48" s="290">
        <v>131</v>
      </c>
      <c r="F48" s="290">
        <v>53900</v>
      </c>
      <c r="G48" s="290">
        <v>2190</v>
      </c>
      <c r="H48" s="290" t="s">
        <v>46</v>
      </c>
      <c r="I48" s="290">
        <v>5.7</v>
      </c>
      <c r="J48" s="290">
        <v>22.7</v>
      </c>
      <c r="K48" s="290" t="s">
        <v>46</v>
      </c>
      <c r="L48" s="290">
        <v>10</v>
      </c>
      <c r="M48" s="290">
        <v>4.5</v>
      </c>
      <c r="N48" s="290" t="s">
        <v>46</v>
      </c>
      <c r="O48" s="290" t="s">
        <v>46</v>
      </c>
      <c r="P48" s="290">
        <v>14800</v>
      </c>
      <c r="Q48" s="290">
        <f t="shared" si="2"/>
        <v>71063.899999999994</v>
      </c>
      <c r="R48" s="270"/>
      <c r="S48" s="270"/>
      <c r="T48" s="270"/>
      <c r="U48" s="271"/>
      <c r="V48" s="280"/>
    </row>
    <row r="49" spans="1:22">
      <c r="A49" s="287">
        <v>1</v>
      </c>
      <c r="B49" s="288" t="s">
        <v>2</v>
      </c>
      <c r="C49" s="289">
        <v>2</v>
      </c>
      <c r="D49" s="359">
        <v>44341</v>
      </c>
      <c r="E49" s="290">
        <v>83</v>
      </c>
      <c r="F49" s="290">
        <v>50800</v>
      </c>
      <c r="G49" s="290">
        <v>2140</v>
      </c>
      <c r="H49" s="290">
        <v>1.4</v>
      </c>
      <c r="I49" s="290">
        <v>6.2</v>
      </c>
      <c r="J49" s="290">
        <v>29.1</v>
      </c>
      <c r="K49" s="290" t="s">
        <v>46</v>
      </c>
      <c r="L49" s="290">
        <v>21.4</v>
      </c>
      <c r="M49" s="290" t="s">
        <v>46</v>
      </c>
      <c r="N49" s="290" t="s">
        <v>46</v>
      </c>
      <c r="O49" s="290" t="s">
        <v>46</v>
      </c>
      <c r="P49" s="290">
        <v>14600</v>
      </c>
      <c r="Q49" s="290">
        <f t="shared" si="2"/>
        <v>67681.100000000006</v>
      </c>
      <c r="R49" s="270"/>
      <c r="S49" s="273">
        <v>747</v>
      </c>
      <c r="T49" s="273"/>
      <c r="U49" s="274"/>
      <c r="V49" s="265"/>
    </row>
    <row r="50" spans="1:22">
      <c r="A50" s="287">
        <v>1</v>
      </c>
      <c r="B50" s="288" t="s">
        <v>2</v>
      </c>
      <c r="C50" s="289">
        <v>2</v>
      </c>
      <c r="D50" s="359">
        <v>44312</v>
      </c>
      <c r="E50" s="290">
        <v>119</v>
      </c>
      <c r="F50" s="290">
        <v>72500</v>
      </c>
      <c r="G50" s="290">
        <v>3310</v>
      </c>
      <c r="H50" s="290">
        <v>2.6</v>
      </c>
      <c r="I50" s="290">
        <v>7.6</v>
      </c>
      <c r="J50" s="290">
        <v>55.4</v>
      </c>
      <c r="K50" s="290" t="s">
        <v>46</v>
      </c>
      <c r="L50" s="290">
        <v>14</v>
      </c>
      <c r="M50" s="290">
        <v>6.1</v>
      </c>
      <c r="N50" s="290" t="s">
        <v>46</v>
      </c>
      <c r="O50" s="290" t="s">
        <v>46</v>
      </c>
      <c r="P50" s="290">
        <v>11300</v>
      </c>
      <c r="Q50" s="290">
        <f t="shared" si="2"/>
        <v>87314.700000000012</v>
      </c>
      <c r="R50" s="270"/>
      <c r="S50" s="270"/>
      <c r="T50" s="270"/>
      <c r="U50" s="271"/>
      <c r="V50" s="280"/>
    </row>
    <row r="51" spans="1:22">
      <c r="A51" s="287">
        <v>1</v>
      </c>
      <c r="B51" s="288" t="s">
        <v>2</v>
      </c>
      <c r="C51" s="289">
        <v>2</v>
      </c>
      <c r="D51" s="359">
        <v>44280</v>
      </c>
      <c r="E51" s="290">
        <v>135</v>
      </c>
      <c r="F51" s="290">
        <v>93300</v>
      </c>
      <c r="G51" s="290">
        <v>3900</v>
      </c>
      <c r="H51" s="290">
        <v>3.2</v>
      </c>
      <c r="I51" s="290">
        <v>9.6999999999999993</v>
      </c>
      <c r="J51" s="290">
        <v>59.9</v>
      </c>
      <c r="K51" s="290" t="s">
        <v>46</v>
      </c>
      <c r="L51" s="290">
        <v>9.8000000000000007</v>
      </c>
      <c r="M51" s="290">
        <v>6.3</v>
      </c>
      <c r="N51" s="290" t="s">
        <v>46</v>
      </c>
      <c r="O51" s="290" t="s">
        <v>46</v>
      </c>
      <c r="P51" s="290">
        <v>12400</v>
      </c>
      <c r="Q51" s="290">
        <f t="shared" si="2"/>
        <v>109823.9</v>
      </c>
      <c r="R51" s="270"/>
      <c r="S51" s="270"/>
      <c r="T51" s="270"/>
      <c r="U51" s="271"/>
      <c r="V51" s="280"/>
    </row>
    <row r="52" spans="1:22">
      <c r="A52" s="287">
        <v>1</v>
      </c>
      <c r="B52" s="288" t="s">
        <v>2</v>
      </c>
      <c r="C52" s="289">
        <v>2</v>
      </c>
      <c r="D52" s="359">
        <v>44249</v>
      </c>
      <c r="E52" s="290">
        <v>89.2</v>
      </c>
      <c r="F52" s="290">
        <v>45200</v>
      </c>
      <c r="G52" s="290">
        <v>2270</v>
      </c>
      <c r="H52" s="290">
        <v>1.2</v>
      </c>
      <c r="I52" s="290">
        <v>6.4</v>
      </c>
      <c r="J52" s="290">
        <v>41.6</v>
      </c>
      <c r="K52" s="290" t="s">
        <v>46</v>
      </c>
      <c r="L52" s="290">
        <v>47.1</v>
      </c>
      <c r="M52" s="290">
        <v>9.1</v>
      </c>
      <c r="N52" s="290" t="s">
        <v>46</v>
      </c>
      <c r="O52" s="290">
        <v>4.7</v>
      </c>
      <c r="P52" s="290">
        <v>10500</v>
      </c>
      <c r="Q52" s="290">
        <f t="shared" si="2"/>
        <v>58169.299999999988</v>
      </c>
      <c r="R52" s="270"/>
      <c r="S52" s="270"/>
      <c r="T52" s="270"/>
      <c r="U52" s="271"/>
      <c r="V52" s="280"/>
    </row>
    <row r="53" spans="1:22">
      <c r="A53" s="287">
        <v>1</v>
      </c>
      <c r="B53" s="288" t="s">
        <v>2</v>
      </c>
      <c r="C53" s="289">
        <v>2</v>
      </c>
      <c r="D53" s="359">
        <v>44217</v>
      </c>
      <c r="E53" s="290">
        <v>122</v>
      </c>
      <c r="F53" s="290">
        <v>47500</v>
      </c>
      <c r="G53" s="290">
        <v>1750</v>
      </c>
      <c r="H53" s="290">
        <v>2.1</v>
      </c>
      <c r="I53" s="290">
        <v>8.1</v>
      </c>
      <c r="J53" s="290">
        <v>50.6</v>
      </c>
      <c r="K53" s="290" t="s">
        <v>46</v>
      </c>
      <c r="L53" s="290">
        <v>33.700000000000003</v>
      </c>
      <c r="M53" s="290">
        <v>18.399999999999999</v>
      </c>
      <c r="N53" s="290" t="s">
        <v>46</v>
      </c>
      <c r="O53" s="290" t="s">
        <v>46</v>
      </c>
      <c r="P53" s="290">
        <v>7050</v>
      </c>
      <c r="Q53" s="290">
        <f t="shared" si="2"/>
        <v>56534.899999999994</v>
      </c>
      <c r="R53" s="270"/>
      <c r="S53" s="270"/>
      <c r="T53" s="270"/>
      <c r="U53" s="271"/>
      <c r="V53" s="280"/>
    </row>
    <row r="54" spans="1:22">
      <c r="A54" s="287">
        <v>1</v>
      </c>
      <c r="B54" s="288" t="s">
        <v>2</v>
      </c>
      <c r="C54" s="289">
        <v>2</v>
      </c>
      <c r="D54" s="359">
        <v>44186</v>
      </c>
      <c r="E54" s="290">
        <v>130</v>
      </c>
      <c r="F54" s="290">
        <v>42400</v>
      </c>
      <c r="G54" s="290">
        <v>1760</v>
      </c>
      <c r="H54" s="290">
        <v>2.1</v>
      </c>
      <c r="I54" s="290">
        <v>6.7</v>
      </c>
      <c r="J54" s="290">
        <v>41.9</v>
      </c>
      <c r="K54" s="290"/>
      <c r="L54" s="290">
        <v>114</v>
      </c>
      <c r="M54" s="290">
        <v>44.6</v>
      </c>
      <c r="N54" s="290">
        <v>1</v>
      </c>
      <c r="O54" s="290">
        <v>5.5</v>
      </c>
      <c r="P54" s="290">
        <v>6720</v>
      </c>
      <c r="Q54" s="290">
        <f t="shared" si="2"/>
        <v>51225.799999999996</v>
      </c>
      <c r="R54" s="270"/>
      <c r="S54" s="270"/>
      <c r="T54" s="270"/>
      <c r="U54" s="271"/>
      <c r="V54" s="280"/>
    </row>
    <row r="55" spans="1:22">
      <c r="A55" s="287">
        <v>1</v>
      </c>
      <c r="B55" s="288" t="s">
        <v>2</v>
      </c>
      <c r="C55" s="289">
        <v>2</v>
      </c>
      <c r="D55" s="359">
        <v>44174</v>
      </c>
      <c r="E55" s="290">
        <v>88.6</v>
      </c>
      <c r="F55" s="290">
        <v>26100</v>
      </c>
      <c r="G55" s="290">
        <v>1110</v>
      </c>
      <c r="H55" s="290">
        <v>1.4</v>
      </c>
      <c r="I55" s="290">
        <v>5.3</v>
      </c>
      <c r="J55" s="290">
        <v>25.2</v>
      </c>
      <c r="K55" s="290" t="s">
        <v>46</v>
      </c>
      <c r="L55" s="290">
        <v>241</v>
      </c>
      <c r="M55" s="290">
        <v>35.9</v>
      </c>
      <c r="N55" s="290">
        <v>1.6</v>
      </c>
      <c r="O55" s="290">
        <v>8.1</v>
      </c>
      <c r="P55" s="290">
        <v>6080</v>
      </c>
      <c r="Q55" s="290">
        <f t="shared" si="2"/>
        <v>33697.1</v>
      </c>
      <c r="R55" s="270"/>
      <c r="S55" s="270"/>
      <c r="T55" s="270"/>
      <c r="U55" s="271"/>
      <c r="V55" s="280"/>
    </row>
    <row r="56" spans="1:22">
      <c r="A56" s="287">
        <v>1</v>
      </c>
      <c r="B56" s="288" t="s">
        <v>2</v>
      </c>
      <c r="C56" s="289">
        <v>2</v>
      </c>
      <c r="D56" s="359">
        <v>44160</v>
      </c>
      <c r="E56" s="290">
        <v>28.1</v>
      </c>
      <c r="F56" s="290">
        <v>8060</v>
      </c>
      <c r="G56" s="290">
        <v>461</v>
      </c>
      <c r="H56" s="290" t="s">
        <v>46</v>
      </c>
      <c r="I56" s="290">
        <v>5.9</v>
      </c>
      <c r="J56" s="290">
        <v>16</v>
      </c>
      <c r="K56" s="290" t="s">
        <v>46</v>
      </c>
      <c r="L56" s="290">
        <v>6.8</v>
      </c>
      <c r="M56" s="290">
        <v>9.4</v>
      </c>
      <c r="N56" s="290" t="s">
        <v>46</v>
      </c>
      <c r="O56" s="290">
        <v>2.7</v>
      </c>
      <c r="P56" s="290">
        <v>2010</v>
      </c>
      <c r="Q56" s="290">
        <f t="shared" si="2"/>
        <v>10599.9</v>
      </c>
      <c r="R56" s="270"/>
      <c r="S56" s="270"/>
      <c r="T56" s="270"/>
      <c r="U56" s="271"/>
      <c r="V56" s="280"/>
    </row>
    <row r="57" spans="1:22">
      <c r="A57" s="135">
        <v>1</v>
      </c>
      <c r="B57" s="12" t="s">
        <v>2</v>
      </c>
      <c r="C57" s="99">
        <v>2</v>
      </c>
      <c r="D57" s="14">
        <v>43900</v>
      </c>
      <c r="E57" s="291">
        <v>144</v>
      </c>
      <c r="F57" s="291">
        <v>25400</v>
      </c>
      <c r="G57" s="291">
        <v>1030</v>
      </c>
      <c r="H57" s="291">
        <v>1.4</v>
      </c>
      <c r="I57" s="291">
        <v>5.3</v>
      </c>
      <c r="J57" s="291">
        <v>29.6</v>
      </c>
      <c r="K57" s="12" t="s">
        <v>46</v>
      </c>
      <c r="L57" s="291">
        <v>524</v>
      </c>
      <c r="M57" s="291">
        <v>91.1</v>
      </c>
      <c r="N57" s="291">
        <v>3</v>
      </c>
      <c r="O57" s="291">
        <v>17.600000000000001</v>
      </c>
      <c r="P57" s="291">
        <v>7270</v>
      </c>
      <c r="Q57" s="273">
        <f t="shared" si="2"/>
        <v>34516</v>
      </c>
      <c r="R57" s="270"/>
      <c r="S57" s="270"/>
      <c r="T57" s="270"/>
      <c r="U57" s="271"/>
      <c r="V57" s="280"/>
    </row>
    <row r="58" spans="1:22">
      <c r="A58" s="135">
        <v>1</v>
      </c>
      <c r="B58" s="12" t="s">
        <v>2</v>
      </c>
      <c r="C58" s="99">
        <v>2</v>
      </c>
      <c r="D58" s="14">
        <v>43725</v>
      </c>
      <c r="E58" s="273">
        <v>10.9</v>
      </c>
      <c r="F58" s="273">
        <v>7500</v>
      </c>
      <c r="G58" s="273">
        <v>513</v>
      </c>
      <c r="H58" s="273">
        <v>1.8</v>
      </c>
      <c r="I58" s="273">
        <v>2.8</v>
      </c>
      <c r="J58" s="273">
        <v>35.299999999999997</v>
      </c>
      <c r="K58" s="270" t="s">
        <v>46</v>
      </c>
      <c r="L58" s="273">
        <v>27.6</v>
      </c>
      <c r="M58" s="273">
        <v>30.7</v>
      </c>
      <c r="N58" s="270" t="s">
        <v>46</v>
      </c>
      <c r="O58" s="273">
        <v>3.3</v>
      </c>
      <c r="P58" s="273">
        <v>1400</v>
      </c>
      <c r="Q58" s="273">
        <f t="shared" si="2"/>
        <v>9525.4000000000015</v>
      </c>
      <c r="R58" s="270"/>
      <c r="S58" s="270"/>
      <c r="T58" s="270"/>
      <c r="U58" s="271"/>
      <c r="V58" s="280"/>
    </row>
    <row r="59" spans="1:22">
      <c r="A59" s="135">
        <v>1</v>
      </c>
      <c r="B59" s="12" t="s">
        <v>2</v>
      </c>
      <c r="C59" s="99">
        <v>2</v>
      </c>
      <c r="D59" s="14">
        <v>43629</v>
      </c>
      <c r="E59" s="273">
        <v>31.1</v>
      </c>
      <c r="F59" s="273">
        <v>19400</v>
      </c>
      <c r="G59" s="273">
        <v>838</v>
      </c>
      <c r="H59" s="273">
        <v>1.2</v>
      </c>
      <c r="I59" s="273">
        <v>4.5999999999999996</v>
      </c>
      <c r="J59" s="273">
        <v>27.5</v>
      </c>
      <c r="K59" s="270" t="s">
        <v>46</v>
      </c>
      <c r="L59" s="273">
        <v>149</v>
      </c>
      <c r="M59" s="273">
        <v>48.8</v>
      </c>
      <c r="N59" s="270" t="s">
        <v>46</v>
      </c>
      <c r="O59" s="273">
        <v>8.3000000000000007</v>
      </c>
      <c r="P59" s="273">
        <v>4700</v>
      </c>
      <c r="Q59" s="273">
        <f t="shared" si="2"/>
        <v>25208.499999999996</v>
      </c>
      <c r="R59" s="270"/>
      <c r="S59" s="270"/>
      <c r="T59" s="270"/>
      <c r="U59" s="271"/>
      <c r="V59" s="280"/>
    </row>
    <row r="60" spans="1:22">
      <c r="A60" s="135">
        <v>1</v>
      </c>
      <c r="B60" s="12" t="s">
        <v>2</v>
      </c>
      <c r="C60" s="99">
        <v>2</v>
      </c>
      <c r="D60" s="14">
        <v>43545</v>
      </c>
      <c r="E60" s="273">
        <v>59.4</v>
      </c>
      <c r="F60" s="273">
        <v>63300</v>
      </c>
      <c r="G60" s="273">
        <v>1850</v>
      </c>
      <c r="H60" s="273">
        <v>2.6</v>
      </c>
      <c r="I60" s="273">
        <v>10.5</v>
      </c>
      <c r="J60" s="273">
        <v>65</v>
      </c>
      <c r="K60" s="270" t="s">
        <v>46</v>
      </c>
      <c r="L60" s="273">
        <v>510</v>
      </c>
      <c r="M60" s="273">
        <v>69.400000000000006</v>
      </c>
      <c r="N60" s="270" t="s">
        <v>46</v>
      </c>
      <c r="O60" s="273">
        <v>27.4</v>
      </c>
      <c r="P60" s="273">
        <v>3860</v>
      </c>
      <c r="Q60" s="273">
        <f t="shared" si="2"/>
        <v>69754.299999999988</v>
      </c>
      <c r="R60" s="270"/>
      <c r="S60" s="270"/>
      <c r="T60" s="270"/>
      <c r="U60" s="271"/>
      <c r="V60" s="280"/>
    </row>
    <row r="61" spans="1:22">
      <c r="A61" s="135">
        <v>1</v>
      </c>
      <c r="B61" s="12" t="s">
        <v>2</v>
      </c>
      <c r="C61" s="99">
        <v>2</v>
      </c>
      <c r="D61" s="14">
        <v>43452</v>
      </c>
      <c r="E61" s="273">
        <v>47.1</v>
      </c>
      <c r="F61" s="273">
        <v>54500</v>
      </c>
      <c r="G61" s="273">
        <v>2210</v>
      </c>
      <c r="H61" s="273">
        <v>3.1</v>
      </c>
      <c r="I61" s="273">
        <v>14.7</v>
      </c>
      <c r="J61" s="273">
        <v>66.400000000000006</v>
      </c>
      <c r="K61" s="270" t="s">
        <v>46</v>
      </c>
      <c r="L61" s="273">
        <v>231</v>
      </c>
      <c r="M61" s="273">
        <v>27.9</v>
      </c>
      <c r="N61" s="270" t="s">
        <v>46</v>
      </c>
      <c r="O61" s="273">
        <v>12.3</v>
      </c>
      <c r="P61" s="273">
        <v>6990</v>
      </c>
      <c r="Q61" s="273">
        <f t="shared" si="2"/>
        <v>64102.5</v>
      </c>
      <c r="R61" s="270"/>
      <c r="S61" s="270"/>
      <c r="T61" s="270"/>
      <c r="U61" s="271"/>
      <c r="V61" s="280"/>
    </row>
    <row r="62" spans="1:22">
      <c r="A62" s="135">
        <v>1</v>
      </c>
      <c r="B62" s="12" t="s">
        <v>2</v>
      </c>
      <c r="C62" s="99">
        <v>2</v>
      </c>
      <c r="D62" s="14">
        <v>43363</v>
      </c>
      <c r="E62" s="273">
        <v>38.5</v>
      </c>
      <c r="F62" s="273">
        <v>135000</v>
      </c>
      <c r="G62" s="273">
        <v>4960</v>
      </c>
      <c r="H62" s="273">
        <v>6.5</v>
      </c>
      <c r="I62" s="273">
        <v>10.8</v>
      </c>
      <c r="J62" s="273">
        <v>122</v>
      </c>
      <c r="K62" s="270" t="s">
        <v>46</v>
      </c>
      <c r="L62" s="273">
        <v>87.9</v>
      </c>
      <c r="M62" s="273">
        <v>38.6</v>
      </c>
      <c r="N62" s="270" t="s">
        <v>46</v>
      </c>
      <c r="O62" s="273">
        <v>11.6</v>
      </c>
      <c r="P62" s="273">
        <v>39300</v>
      </c>
      <c r="Q62" s="273">
        <f t="shared" si="2"/>
        <v>179575.9</v>
      </c>
      <c r="R62" s="270"/>
      <c r="S62" s="270"/>
      <c r="T62" s="270"/>
      <c r="U62" s="271"/>
      <c r="V62" s="280"/>
    </row>
    <row r="63" spans="1:22">
      <c r="A63" s="135">
        <v>1</v>
      </c>
      <c r="B63" s="12" t="s">
        <v>2</v>
      </c>
      <c r="C63" s="99">
        <v>2</v>
      </c>
      <c r="D63" s="14">
        <v>43333</v>
      </c>
      <c r="E63" s="273">
        <v>33.9</v>
      </c>
      <c r="F63" s="273">
        <v>28200</v>
      </c>
      <c r="G63" s="273">
        <v>2440</v>
      </c>
      <c r="H63" s="273">
        <v>2.1</v>
      </c>
      <c r="I63" s="273">
        <v>12.4</v>
      </c>
      <c r="J63" s="273">
        <v>36.799999999999997</v>
      </c>
      <c r="K63" s="270" t="s">
        <v>46</v>
      </c>
      <c r="L63" s="273">
        <v>29</v>
      </c>
      <c r="M63" s="273">
        <v>16.8</v>
      </c>
      <c r="N63" s="270" t="s">
        <v>46</v>
      </c>
      <c r="O63" s="273">
        <v>6.3</v>
      </c>
      <c r="P63" s="273">
        <v>12000</v>
      </c>
      <c r="Q63" s="273">
        <f t="shared" si="2"/>
        <v>42777.3</v>
      </c>
      <c r="R63" s="270"/>
      <c r="S63" s="270"/>
      <c r="T63" s="270"/>
      <c r="U63" s="271"/>
      <c r="V63" s="280"/>
    </row>
    <row r="64" spans="1:22">
      <c r="A64" s="135">
        <v>1</v>
      </c>
      <c r="B64" s="12" t="s">
        <v>2</v>
      </c>
      <c r="C64" s="99">
        <v>2</v>
      </c>
      <c r="D64" s="14">
        <v>43264</v>
      </c>
      <c r="E64" s="273">
        <v>5.6</v>
      </c>
      <c r="F64" s="273">
        <v>20700</v>
      </c>
      <c r="G64" s="273">
        <v>280</v>
      </c>
      <c r="H64" s="273">
        <v>1.1000000000000001</v>
      </c>
      <c r="I64" s="273">
        <v>1</v>
      </c>
      <c r="J64" s="273">
        <v>92.6</v>
      </c>
      <c r="K64" s="273">
        <v>0.9</v>
      </c>
      <c r="L64" s="273">
        <v>62</v>
      </c>
      <c r="M64" s="273">
        <v>61.3</v>
      </c>
      <c r="N64" s="270" t="s">
        <v>46</v>
      </c>
      <c r="O64" s="273">
        <v>95.6</v>
      </c>
      <c r="P64" s="273">
        <v>354</v>
      </c>
      <c r="Q64" s="273">
        <f t="shared" si="2"/>
        <v>21654.099999999995</v>
      </c>
      <c r="R64" s="270"/>
      <c r="S64" s="270"/>
      <c r="T64" s="270"/>
      <c r="U64" s="271"/>
      <c r="V64" s="280"/>
    </row>
    <row r="65" spans="1:22">
      <c r="A65" s="135">
        <v>1</v>
      </c>
      <c r="B65" s="12" t="s">
        <v>2</v>
      </c>
      <c r="C65" s="99">
        <v>2</v>
      </c>
      <c r="D65" s="14">
        <v>43182</v>
      </c>
      <c r="E65" s="273">
        <v>226</v>
      </c>
      <c r="F65" s="273">
        <v>114000</v>
      </c>
      <c r="G65" s="273">
        <v>6600</v>
      </c>
      <c r="H65" s="273">
        <v>6.8</v>
      </c>
      <c r="I65" s="273">
        <v>19</v>
      </c>
      <c r="J65" s="273">
        <v>106</v>
      </c>
      <c r="K65" s="273">
        <v>2.2000000000000002</v>
      </c>
      <c r="L65" s="273">
        <v>83.9</v>
      </c>
      <c r="M65" s="273">
        <v>33.700000000000003</v>
      </c>
      <c r="N65" s="270" t="s">
        <v>46</v>
      </c>
      <c r="O65" s="273">
        <v>23</v>
      </c>
      <c r="P65" s="273">
        <v>27900</v>
      </c>
      <c r="Q65" s="273">
        <f t="shared" si="2"/>
        <v>149000.59999999998</v>
      </c>
      <c r="R65" s="270"/>
      <c r="S65" s="270"/>
      <c r="T65" s="270"/>
      <c r="U65" s="271"/>
      <c r="V65" s="280"/>
    </row>
    <row r="66" spans="1:22">
      <c r="A66" s="135">
        <v>1</v>
      </c>
      <c r="B66" s="12" t="s">
        <v>2</v>
      </c>
      <c r="C66" s="99">
        <v>2</v>
      </c>
      <c r="D66" s="14">
        <v>43076</v>
      </c>
      <c r="E66" s="273">
        <v>432</v>
      </c>
      <c r="F66" s="273">
        <v>176000</v>
      </c>
      <c r="G66" s="273">
        <v>11300</v>
      </c>
      <c r="H66" s="273">
        <v>18.8</v>
      </c>
      <c r="I66" s="273">
        <v>34.200000000000003</v>
      </c>
      <c r="J66" s="273">
        <v>22.9</v>
      </c>
      <c r="K66" s="273">
        <v>3.4</v>
      </c>
      <c r="L66" s="273">
        <v>204</v>
      </c>
      <c r="M66" s="273">
        <v>47.1</v>
      </c>
      <c r="N66" s="270" t="s">
        <v>46</v>
      </c>
      <c r="O66" s="273">
        <v>22.9</v>
      </c>
      <c r="P66" s="273">
        <v>67200</v>
      </c>
      <c r="Q66" s="273">
        <f t="shared" si="2"/>
        <v>255285.3</v>
      </c>
      <c r="R66" s="270"/>
      <c r="S66" s="270"/>
      <c r="T66" s="270"/>
      <c r="U66" s="271"/>
      <c r="V66" s="280"/>
    </row>
    <row r="67" spans="1:22">
      <c r="A67" s="135">
        <v>1</v>
      </c>
      <c r="B67" s="12" t="s">
        <v>2</v>
      </c>
      <c r="C67" s="99">
        <v>2</v>
      </c>
      <c r="D67" s="14">
        <v>43075</v>
      </c>
      <c r="E67" s="273">
        <v>408</v>
      </c>
      <c r="F67" s="273">
        <v>168000</v>
      </c>
      <c r="G67" s="273">
        <v>11900</v>
      </c>
      <c r="H67" s="273">
        <v>16.8</v>
      </c>
      <c r="I67" s="273">
        <v>32.700000000000003</v>
      </c>
      <c r="J67" s="273">
        <v>143</v>
      </c>
      <c r="K67" s="273">
        <v>2.9</v>
      </c>
      <c r="L67" s="273">
        <v>205</v>
      </c>
      <c r="M67" s="273">
        <v>43.9</v>
      </c>
      <c r="N67" s="270" t="s">
        <v>46</v>
      </c>
      <c r="O67" s="273">
        <v>21.2</v>
      </c>
      <c r="P67" s="273">
        <v>76000</v>
      </c>
      <c r="Q67" s="273">
        <f t="shared" si="2"/>
        <v>256773.5</v>
      </c>
      <c r="R67" s="270"/>
      <c r="S67" s="270"/>
      <c r="T67" s="270"/>
      <c r="U67" s="271"/>
      <c r="V67" s="280"/>
    </row>
    <row r="68" spans="1:22">
      <c r="A68" s="135">
        <v>1</v>
      </c>
      <c r="B68" s="12" t="s">
        <v>2</v>
      </c>
      <c r="C68" s="99">
        <v>2</v>
      </c>
      <c r="D68" s="14">
        <v>43039</v>
      </c>
      <c r="E68" s="273">
        <v>279</v>
      </c>
      <c r="F68" s="273">
        <v>143000</v>
      </c>
      <c r="G68" s="273">
        <v>10900</v>
      </c>
      <c r="H68" s="273">
        <v>15.4</v>
      </c>
      <c r="I68" s="273">
        <v>30.1</v>
      </c>
      <c r="J68" s="273">
        <v>143</v>
      </c>
      <c r="K68" s="273">
        <v>9.9</v>
      </c>
      <c r="L68" s="273">
        <v>276</v>
      </c>
      <c r="M68" s="273">
        <v>46.9</v>
      </c>
      <c r="N68" s="273">
        <v>1.3</v>
      </c>
      <c r="O68" s="273">
        <v>21</v>
      </c>
      <c r="P68" s="273">
        <v>77600</v>
      </c>
      <c r="Q68" s="273">
        <f t="shared" si="2"/>
        <v>232322.59999999998</v>
      </c>
      <c r="R68" s="270"/>
      <c r="S68" s="270"/>
      <c r="T68" s="270"/>
      <c r="U68" s="271"/>
      <c r="V68" s="280"/>
    </row>
    <row r="69" spans="1:22">
      <c r="A69" s="135">
        <v>1</v>
      </c>
      <c r="B69" s="12" t="s">
        <v>2</v>
      </c>
      <c r="C69" s="99">
        <v>2</v>
      </c>
      <c r="D69" s="14">
        <v>42951</v>
      </c>
      <c r="E69" s="273">
        <v>283</v>
      </c>
      <c r="F69" s="273">
        <v>152000</v>
      </c>
      <c r="G69" s="273">
        <v>11300</v>
      </c>
      <c r="H69" s="273">
        <v>13</v>
      </c>
      <c r="I69" s="273">
        <v>29.5</v>
      </c>
      <c r="J69" s="273">
        <v>108</v>
      </c>
      <c r="K69" s="273">
        <v>1.6</v>
      </c>
      <c r="L69" s="273">
        <v>369</v>
      </c>
      <c r="M69" s="273">
        <v>41</v>
      </c>
      <c r="N69" s="273">
        <v>1.6</v>
      </c>
      <c r="O69" s="273">
        <v>15.3</v>
      </c>
      <c r="P69" s="273">
        <v>52800</v>
      </c>
      <c r="Q69" s="273">
        <f t="shared" si="2"/>
        <v>216962</v>
      </c>
      <c r="R69" s="270"/>
      <c r="S69" s="270"/>
      <c r="T69" s="270"/>
      <c r="U69" s="271"/>
      <c r="V69" s="280"/>
    </row>
    <row r="70" spans="1:22">
      <c r="A70" s="135">
        <v>1</v>
      </c>
      <c r="B70" s="12" t="s">
        <v>2</v>
      </c>
      <c r="C70" s="99">
        <v>2</v>
      </c>
      <c r="D70" s="14">
        <v>42894</v>
      </c>
      <c r="E70" s="273">
        <v>90</v>
      </c>
      <c r="F70" s="273">
        <v>40500</v>
      </c>
      <c r="G70" s="273">
        <v>6970</v>
      </c>
      <c r="H70" s="270" t="s">
        <v>46</v>
      </c>
      <c r="I70" s="273">
        <v>19.899999999999999</v>
      </c>
      <c r="J70" s="273">
        <v>29.2</v>
      </c>
      <c r="K70" s="270" t="s">
        <v>46</v>
      </c>
      <c r="L70" s="273">
        <v>5060</v>
      </c>
      <c r="M70" s="273">
        <v>65.3</v>
      </c>
      <c r="N70" s="273">
        <v>2</v>
      </c>
      <c r="O70" s="273">
        <v>1800</v>
      </c>
      <c r="P70" s="273">
        <v>44500</v>
      </c>
      <c r="Q70" s="273">
        <f t="shared" si="2"/>
        <v>99036.4</v>
      </c>
      <c r="R70" s="270"/>
      <c r="S70" s="270"/>
      <c r="T70" s="270"/>
      <c r="U70" s="271"/>
      <c r="V70" s="280"/>
    </row>
    <row r="71" spans="1:22">
      <c r="A71" s="135">
        <v>1</v>
      </c>
      <c r="B71" s="12" t="s">
        <v>2</v>
      </c>
      <c r="C71" s="99">
        <v>2</v>
      </c>
      <c r="D71" s="14">
        <v>42618</v>
      </c>
      <c r="E71" s="273">
        <v>534</v>
      </c>
      <c r="F71" s="273">
        <v>311000</v>
      </c>
      <c r="G71" s="273">
        <v>13200</v>
      </c>
      <c r="H71" s="273">
        <v>13.6</v>
      </c>
      <c r="I71" s="273">
        <v>36.5</v>
      </c>
      <c r="J71" s="273">
        <v>117</v>
      </c>
      <c r="K71" s="273">
        <v>4</v>
      </c>
      <c r="L71" s="273">
        <v>835</v>
      </c>
      <c r="M71" s="273">
        <v>45.9</v>
      </c>
      <c r="N71" s="273">
        <v>3.7</v>
      </c>
      <c r="O71" s="273">
        <v>11.9</v>
      </c>
      <c r="P71" s="273">
        <v>111000</v>
      </c>
      <c r="Q71" s="273">
        <f t="shared" si="2"/>
        <v>436801.60000000003</v>
      </c>
      <c r="R71" s="270"/>
      <c r="S71" s="270"/>
      <c r="T71" s="270"/>
      <c r="U71" s="271"/>
      <c r="V71" s="280"/>
    </row>
    <row r="72" spans="1:22">
      <c r="A72" s="135">
        <v>1</v>
      </c>
      <c r="B72" s="12" t="s">
        <v>2</v>
      </c>
      <c r="C72" s="99">
        <v>2</v>
      </c>
      <c r="D72" s="14">
        <v>42579</v>
      </c>
      <c r="E72" s="273">
        <v>294</v>
      </c>
      <c r="F72" s="273">
        <v>374000</v>
      </c>
      <c r="G72" s="273">
        <v>13500</v>
      </c>
      <c r="H72" s="273">
        <v>8</v>
      </c>
      <c r="I72" s="273">
        <v>21.5</v>
      </c>
      <c r="J72" s="273">
        <v>87.5</v>
      </c>
      <c r="K72" s="270" t="s">
        <v>46</v>
      </c>
      <c r="L72" s="273">
        <v>1460</v>
      </c>
      <c r="M72" s="273">
        <v>55.7</v>
      </c>
      <c r="N72" s="273">
        <v>4.5999999999999996</v>
      </c>
      <c r="O72" s="273">
        <v>14.4</v>
      </c>
      <c r="P72" s="273">
        <v>97300</v>
      </c>
      <c r="Q72" s="273">
        <f t="shared" si="2"/>
        <v>486745.7</v>
      </c>
      <c r="R72" s="270"/>
      <c r="S72" s="270"/>
      <c r="T72" s="270"/>
      <c r="U72" s="271"/>
      <c r="V72" s="280"/>
    </row>
    <row r="73" spans="1:22">
      <c r="A73" s="135">
        <v>1</v>
      </c>
      <c r="B73" s="12" t="s">
        <v>2</v>
      </c>
      <c r="C73" s="99">
        <v>2</v>
      </c>
      <c r="D73" s="14">
        <v>42534</v>
      </c>
      <c r="E73" s="273">
        <v>851</v>
      </c>
      <c r="F73" s="273">
        <v>449000</v>
      </c>
      <c r="G73" s="273">
        <v>17200</v>
      </c>
      <c r="H73" s="273">
        <v>17.399999999999999</v>
      </c>
      <c r="I73" s="273">
        <v>45.6</v>
      </c>
      <c r="J73" s="273">
        <v>127</v>
      </c>
      <c r="K73" s="273">
        <v>4.5</v>
      </c>
      <c r="L73" s="273">
        <v>764</v>
      </c>
      <c r="M73" s="273">
        <v>55.9</v>
      </c>
      <c r="N73" s="273">
        <v>5.2</v>
      </c>
      <c r="O73" s="273">
        <v>12</v>
      </c>
      <c r="P73" s="273">
        <v>109000</v>
      </c>
      <c r="Q73" s="273">
        <f t="shared" si="2"/>
        <v>577082.60000000009</v>
      </c>
      <c r="R73" s="270"/>
      <c r="S73" s="270"/>
      <c r="T73" s="270"/>
      <c r="U73" s="271"/>
      <c r="V73" s="280"/>
    </row>
    <row r="74" spans="1:22">
      <c r="A74" s="135">
        <v>1</v>
      </c>
      <c r="B74" s="12" t="s">
        <v>2</v>
      </c>
      <c r="C74" s="99">
        <v>2</v>
      </c>
      <c r="D74" s="14">
        <v>42508</v>
      </c>
      <c r="E74" s="273">
        <v>412</v>
      </c>
      <c r="F74" s="273">
        <v>180000</v>
      </c>
      <c r="G74" s="273">
        <v>7430</v>
      </c>
      <c r="H74" s="273">
        <v>12.8</v>
      </c>
      <c r="I74" s="273">
        <v>22.2</v>
      </c>
      <c r="J74" s="273">
        <v>144</v>
      </c>
      <c r="K74" s="273">
        <v>3.8</v>
      </c>
      <c r="L74" s="273">
        <v>1470</v>
      </c>
      <c r="M74" s="273">
        <v>88.4</v>
      </c>
      <c r="N74" s="273">
        <v>13.2</v>
      </c>
      <c r="O74" s="273">
        <v>16.5</v>
      </c>
      <c r="P74" s="273">
        <v>30100</v>
      </c>
      <c r="Q74" s="273">
        <f t="shared" si="2"/>
        <v>219712.9</v>
      </c>
      <c r="R74" s="270"/>
      <c r="S74" s="270"/>
      <c r="T74" s="270"/>
      <c r="U74" s="271"/>
      <c r="V74" s="280"/>
    </row>
    <row r="75" spans="1:22">
      <c r="A75" s="135">
        <v>1</v>
      </c>
      <c r="B75" s="12" t="s">
        <v>2</v>
      </c>
      <c r="C75" s="99">
        <v>2</v>
      </c>
      <c r="D75" s="14">
        <v>42492</v>
      </c>
      <c r="E75" s="273">
        <v>518</v>
      </c>
      <c r="F75" s="273">
        <v>174000</v>
      </c>
      <c r="G75" s="273">
        <v>7670</v>
      </c>
      <c r="H75" s="273">
        <v>15.9</v>
      </c>
      <c r="I75" s="273">
        <v>23.4</v>
      </c>
      <c r="J75" s="273">
        <v>151</v>
      </c>
      <c r="K75" s="273">
        <v>4.5999999999999996</v>
      </c>
      <c r="L75" s="273">
        <v>1880</v>
      </c>
      <c r="M75" s="273">
        <v>79.599999999999994</v>
      </c>
      <c r="N75" s="273">
        <v>16.399999999999999</v>
      </c>
      <c r="O75" s="273">
        <v>41.5</v>
      </c>
      <c r="P75" s="273">
        <v>28300</v>
      </c>
      <c r="Q75" s="273">
        <f t="shared" si="2"/>
        <v>212700.4</v>
      </c>
      <c r="R75" s="270"/>
      <c r="S75" s="270"/>
      <c r="T75" s="270"/>
      <c r="U75" s="271"/>
      <c r="V75" s="280"/>
    </row>
    <row r="76" spans="1:22" ht="15" thickBot="1">
      <c r="A76" s="292">
        <v>1</v>
      </c>
      <c r="B76" s="16" t="s">
        <v>2</v>
      </c>
      <c r="C76" s="293">
        <v>2</v>
      </c>
      <c r="D76" s="18">
        <v>42479</v>
      </c>
      <c r="E76" s="294">
        <v>403</v>
      </c>
      <c r="F76" s="294">
        <v>155000</v>
      </c>
      <c r="G76" s="294">
        <v>6930</v>
      </c>
      <c r="H76" s="294">
        <v>14.4</v>
      </c>
      <c r="I76" s="294">
        <v>19</v>
      </c>
      <c r="J76" s="294">
        <v>153</v>
      </c>
      <c r="K76" s="294">
        <v>3.5</v>
      </c>
      <c r="L76" s="294">
        <v>1560</v>
      </c>
      <c r="M76" s="294">
        <v>66.599999999999994</v>
      </c>
      <c r="N76" s="294">
        <v>9.8000000000000007</v>
      </c>
      <c r="O76" s="294">
        <v>13</v>
      </c>
      <c r="P76" s="294">
        <v>14400</v>
      </c>
      <c r="Q76" s="294">
        <f t="shared" si="2"/>
        <v>178572.3</v>
      </c>
      <c r="R76" s="295"/>
      <c r="S76" s="295"/>
      <c r="T76" s="295"/>
      <c r="U76" s="296"/>
      <c r="V76" s="280"/>
    </row>
    <row r="77" spans="1:22">
      <c r="A77" s="258">
        <v>2</v>
      </c>
      <c r="B77" s="259" t="s">
        <v>2</v>
      </c>
      <c r="C77" s="260">
        <v>3</v>
      </c>
      <c r="D77" s="355">
        <v>45992</v>
      </c>
      <c r="E77" s="262">
        <v>74.7</v>
      </c>
      <c r="F77" s="261">
        <v>25600</v>
      </c>
      <c r="G77" s="262">
        <v>6730</v>
      </c>
      <c r="H77" s="262" t="s">
        <v>46</v>
      </c>
      <c r="I77" s="262">
        <v>20.399999999999999</v>
      </c>
      <c r="J77" s="262">
        <v>6.5</v>
      </c>
      <c r="K77" s="262" t="s">
        <v>46</v>
      </c>
      <c r="L77" s="262" t="s">
        <v>46</v>
      </c>
      <c r="M77" s="262" t="s">
        <v>46</v>
      </c>
      <c r="N77" s="262" t="s">
        <v>46</v>
      </c>
      <c r="O77" s="262" t="s">
        <v>46</v>
      </c>
      <c r="P77" s="262">
        <v>197000</v>
      </c>
      <c r="Q77" s="262">
        <f t="shared" si="2"/>
        <v>229431.6</v>
      </c>
      <c r="R77" s="285"/>
      <c r="S77" s="285"/>
      <c r="T77" s="285"/>
      <c r="U77" s="286"/>
      <c r="V77" s="280"/>
    </row>
    <row r="78" spans="1:22">
      <c r="A78" s="266">
        <v>2</v>
      </c>
      <c r="B78" s="267" t="s">
        <v>2</v>
      </c>
      <c r="C78" s="268">
        <v>3</v>
      </c>
      <c r="D78" s="356">
        <v>45971</v>
      </c>
      <c r="E78" s="269">
        <v>58.8</v>
      </c>
      <c r="F78" s="272">
        <v>27400</v>
      </c>
      <c r="G78" s="269">
        <v>6060</v>
      </c>
      <c r="H78" s="269" t="s">
        <v>46</v>
      </c>
      <c r="I78" s="269">
        <v>19</v>
      </c>
      <c r="J78" s="269">
        <v>6.3</v>
      </c>
      <c r="K78" s="269" t="s">
        <v>46</v>
      </c>
      <c r="L78" s="269">
        <v>6.5</v>
      </c>
      <c r="M78" s="269" t="s">
        <v>46</v>
      </c>
      <c r="N78" s="269" t="s">
        <v>46</v>
      </c>
      <c r="O78" s="269" t="s">
        <v>46</v>
      </c>
      <c r="P78" s="269">
        <v>152000</v>
      </c>
      <c r="Q78" s="269">
        <f t="shared" si="2"/>
        <v>185550.6</v>
      </c>
      <c r="R78" s="270" t="s">
        <v>36</v>
      </c>
      <c r="S78" s="270">
        <v>2360</v>
      </c>
      <c r="T78" s="270">
        <v>35800</v>
      </c>
      <c r="U78" s="271"/>
      <c r="V78" s="280"/>
    </row>
    <row r="79" spans="1:22">
      <c r="A79" s="266">
        <v>2</v>
      </c>
      <c r="B79" s="267" t="s">
        <v>2</v>
      </c>
      <c r="C79" s="268">
        <v>3</v>
      </c>
      <c r="D79" s="356">
        <v>45936</v>
      </c>
      <c r="E79" s="269">
        <v>120</v>
      </c>
      <c r="F79" s="272">
        <v>44600</v>
      </c>
      <c r="G79" s="269">
        <v>7510</v>
      </c>
      <c r="H79" s="269" t="s">
        <v>46</v>
      </c>
      <c r="I79" s="269">
        <v>23.3</v>
      </c>
      <c r="J79" s="269">
        <v>10.4</v>
      </c>
      <c r="K79" s="269" t="s">
        <v>46</v>
      </c>
      <c r="L79" s="269">
        <v>2.7</v>
      </c>
      <c r="M79" s="269">
        <v>1.8</v>
      </c>
      <c r="N79" s="269" t="s">
        <v>46</v>
      </c>
      <c r="O79" s="269" t="s">
        <v>46</v>
      </c>
      <c r="P79" s="269">
        <v>168000</v>
      </c>
      <c r="Q79" s="269">
        <f t="shared" si="2"/>
        <v>220268.2</v>
      </c>
      <c r="R79" s="270"/>
      <c r="S79" s="270"/>
      <c r="T79" s="270"/>
      <c r="U79" s="271"/>
      <c r="V79" s="280"/>
    </row>
    <row r="80" spans="1:22">
      <c r="A80" s="266">
        <v>2</v>
      </c>
      <c r="B80" s="267" t="s">
        <v>2</v>
      </c>
      <c r="C80" s="268">
        <v>3</v>
      </c>
      <c r="D80" s="356">
        <v>45909</v>
      </c>
      <c r="E80" s="269">
        <v>107</v>
      </c>
      <c r="F80" s="272">
        <v>31600</v>
      </c>
      <c r="G80" s="269">
        <v>10000</v>
      </c>
      <c r="H80" s="269" t="s">
        <v>46</v>
      </c>
      <c r="I80" s="269">
        <v>33.5</v>
      </c>
      <c r="J80" s="269">
        <v>9.1</v>
      </c>
      <c r="K80" s="269" t="s">
        <v>46</v>
      </c>
      <c r="L80" s="269">
        <v>5.0999999999999996</v>
      </c>
      <c r="M80" s="269" t="s">
        <v>46</v>
      </c>
      <c r="N80" s="269" t="s">
        <v>46</v>
      </c>
      <c r="O80" s="269" t="s">
        <v>46</v>
      </c>
      <c r="P80" s="269">
        <v>233000</v>
      </c>
      <c r="Q80" s="269">
        <f t="shared" si="2"/>
        <v>274754.7</v>
      </c>
      <c r="R80" s="270"/>
      <c r="S80" s="270"/>
      <c r="T80" s="270"/>
      <c r="U80" s="271"/>
      <c r="V80" s="280"/>
    </row>
    <row r="81" spans="1:22">
      <c r="A81" s="266">
        <v>2</v>
      </c>
      <c r="B81" s="267" t="s">
        <v>2</v>
      </c>
      <c r="C81" s="268">
        <v>3</v>
      </c>
      <c r="D81" s="356">
        <v>45840</v>
      </c>
      <c r="E81" s="269">
        <v>73.400000000000006</v>
      </c>
      <c r="F81" s="272">
        <v>26400</v>
      </c>
      <c r="G81" s="269">
        <v>8040</v>
      </c>
      <c r="H81" s="269" t="s">
        <v>46</v>
      </c>
      <c r="I81" s="269">
        <v>26.7</v>
      </c>
      <c r="J81" s="269">
        <v>7.8</v>
      </c>
      <c r="K81" s="269" t="s">
        <v>46</v>
      </c>
      <c r="L81" s="269" t="s">
        <v>46</v>
      </c>
      <c r="M81" s="269">
        <v>1.2</v>
      </c>
      <c r="N81" s="269" t="s">
        <v>46</v>
      </c>
      <c r="O81" s="269" t="s">
        <v>46</v>
      </c>
      <c r="P81" s="269">
        <v>143000</v>
      </c>
      <c r="Q81" s="269">
        <f t="shared" si="2"/>
        <v>177549.1</v>
      </c>
      <c r="R81" s="270"/>
      <c r="S81" s="270"/>
      <c r="T81" s="270"/>
      <c r="U81" s="271"/>
      <c r="V81" s="280"/>
    </row>
    <row r="82" spans="1:22">
      <c r="A82" s="266">
        <v>2</v>
      </c>
      <c r="B82" s="267" t="s">
        <v>2</v>
      </c>
      <c r="C82" s="268">
        <v>3</v>
      </c>
      <c r="D82" s="356">
        <v>45825</v>
      </c>
      <c r="E82" s="269">
        <v>113</v>
      </c>
      <c r="F82" s="272">
        <v>26400</v>
      </c>
      <c r="G82" s="269">
        <v>6190</v>
      </c>
      <c r="H82" s="269">
        <v>1.6</v>
      </c>
      <c r="I82" s="269">
        <v>28.8</v>
      </c>
      <c r="J82" s="269">
        <v>11</v>
      </c>
      <c r="K82" s="269" t="s">
        <v>46</v>
      </c>
      <c r="L82" s="269" t="s">
        <v>46</v>
      </c>
      <c r="M82" s="269">
        <v>1.3</v>
      </c>
      <c r="N82" s="269" t="s">
        <v>46</v>
      </c>
      <c r="O82" s="269" t="s">
        <v>46</v>
      </c>
      <c r="P82" s="269">
        <v>158000</v>
      </c>
      <c r="Q82" s="269">
        <f t="shared" si="2"/>
        <v>190745.7</v>
      </c>
      <c r="R82" s="270"/>
      <c r="S82" s="270"/>
      <c r="T82" s="270"/>
      <c r="U82" s="271"/>
      <c r="V82" s="280"/>
    </row>
    <row r="83" spans="1:22">
      <c r="A83" s="266">
        <v>2</v>
      </c>
      <c r="B83" s="267" t="s">
        <v>2</v>
      </c>
      <c r="C83" s="268">
        <v>3</v>
      </c>
      <c r="D83" s="356">
        <v>45782</v>
      </c>
      <c r="E83" s="269">
        <v>181</v>
      </c>
      <c r="F83" s="272">
        <v>85500</v>
      </c>
      <c r="G83" s="269">
        <v>12200</v>
      </c>
      <c r="H83" s="269" t="s">
        <v>46</v>
      </c>
      <c r="I83" s="269">
        <v>31.3</v>
      </c>
      <c r="J83" s="269">
        <v>10.3</v>
      </c>
      <c r="K83" s="269" t="s">
        <v>46</v>
      </c>
      <c r="L83" s="269" t="s">
        <v>46</v>
      </c>
      <c r="M83" s="269">
        <v>1.1000000000000001</v>
      </c>
      <c r="N83" s="269" t="s">
        <v>46</v>
      </c>
      <c r="O83" s="269" t="s">
        <v>46</v>
      </c>
      <c r="P83" s="269">
        <v>340000</v>
      </c>
      <c r="Q83" s="269">
        <f t="shared" si="2"/>
        <v>437923.7</v>
      </c>
      <c r="R83" s="270" t="s">
        <v>36</v>
      </c>
      <c r="S83" s="270">
        <v>3430</v>
      </c>
      <c r="T83" s="270">
        <v>24800</v>
      </c>
      <c r="U83" s="271"/>
      <c r="V83" s="280" t="s">
        <v>46</v>
      </c>
    </row>
    <row r="84" spans="1:22">
      <c r="A84" s="266">
        <v>2</v>
      </c>
      <c r="B84" s="267" t="s">
        <v>2</v>
      </c>
      <c r="C84" s="268">
        <v>3</v>
      </c>
      <c r="D84" s="356">
        <v>45755</v>
      </c>
      <c r="E84" s="269">
        <v>219</v>
      </c>
      <c r="F84" s="272">
        <v>91400</v>
      </c>
      <c r="G84" s="269">
        <v>11800</v>
      </c>
      <c r="H84" s="269" t="s">
        <v>46</v>
      </c>
      <c r="I84" s="269">
        <v>27.7</v>
      </c>
      <c r="J84" s="269">
        <v>11.6</v>
      </c>
      <c r="K84" s="269" t="s">
        <v>46</v>
      </c>
      <c r="L84" s="269">
        <v>1.2</v>
      </c>
      <c r="M84" s="269" t="s">
        <v>46</v>
      </c>
      <c r="N84" s="269" t="s">
        <v>46</v>
      </c>
      <c r="O84" s="269" t="s">
        <v>46</v>
      </c>
      <c r="P84" s="269">
        <v>320000</v>
      </c>
      <c r="Q84" s="269">
        <f t="shared" si="2"/>
        <v>423459.5</v>
      </c>
      <c r="R84" s="270"/>
      <c r="S84" s="270"/>
      <c r="T84" s="270"/>
      <c r="U84" s="271"/>
      <c r="V84" s="280"/>
    </row>
    <row r="85" spans="1:22">
      <c r="A85" s="266">
        <v>2</v>
      </c>
      <c r="B85" s="267" t="s">
        <v>2</v>
      </c>
      <c r="C85" s="268">
        <v>3</v>
      </c>
      <c r="D85" s="356">
        <v>45727</v>
      </c>
      <c r="E85" s="269">
        <v>375</v>
      </c>
      <c r="F85" s="272">
        <v>179000</v>
      </c>
      <c r="G85" s="269">
        <v>16000</v>
      </c>
      <c r="H85" s="269" t="s">
        <v>46</v>
      </c>
      <c r="I85" s="269">
        <v>33.799999999999997</v>
      </c>
      <c r="J85" s="269">
        <v>8.9</v>
      </c>
      <c r="K85" s="269" t="s">
        <v>46</v>
      </c>
      <c r="L85" s="269">
        <v>3.1</v>
      </c>
      <c r="M85" s="269">
        <v>1.1000000000000001</v>
      </c>
      <c r="N85" s="269" t="s">
        <v>46</v>
      </c>
      <c r="O85" s="269" t="s">
        <v>46</v>
      </c>
      <c r="P85" s="269">
        <v>367000</v>
      </c>
      <c r="Q85" s="269">
        <f t="shared" si="2"/>
        <v>562421.9</v>
      </c>
      <c r="R85" s="270"/>
      <c r="S85" s="270"/>
      <c r="T85" s="270"/>
      <c r="U85" s="271"/>
      <c r="V85" s="280"/>
    </row>
    <row r="86" spans="1:22">
      <c r="A86" s="266">
        <v>2</v>
      </c>
      <c r="B86" s="267" t="s">
        <v>2</v>
      </c>
      <c r="C86" s="268">
        <v>3</v>
      </c>
      <c r="D86" s="356">
        <v>45706</v>
      </c>
      <c r="E86" s="269">
        <v>401</v>
      </c>
      <c r="F86" s="272">
        <v>129000</v>
      </c>
      <c r="G86" s="269">
        <v>14300</v>
      </c>
      <c r="H86" s="269">
        <v>1.4</v>
      </c>
      <c r="I86" s="269">
        <v>33.299999999999997</v>
      </c>
      <c r="J86" s="269">
        <v>5.6</v>
      </c>
      <c r="K86" s="269" t="s">
        <v>46</v>
      </c>
      <c r="L86" s="269" t="s">
        <v>46</v>
      </c>
      <c r="M86" s="269" t="s">
        <v>46</v>
      </c>
      <c r="N86" s="269" t="s">
        <v>46</v>
      </c>
      <c r="O86" s="269" t="s">
        <v>46</v>
      </c>
      <c r="P86" s="269">
        <v>286000</v>
      </c>
      <c r="Q86" s="269">
        <f t="shared" si="2"/>
        <v>429741.3</v>
      </c>
      <c r="R86" s="270"/>
      <c r="S86" s="270"/>
      <c r="T86" s="270">
        <v>17400</v>
      </c>
      <c r="U86" s="271"/>
      <c r="V86" s="280"/>
    </row>
    <row r="87" spans="1:22">
      <c r="A87" s="266">
        <v>2</v>
      </c>
      <c r="B87" s="267" t="s">
        <v>2</v>
      </c>
      <c r="C87" s="268">
        <v>3</v>
      </c>
      <c r="D87" s="356">
        <v>45670</v>
      </c>
      <c r="E87" s="269">
        <v>320</v>
      </c>
      <c r="F87" s="272">
        <v>170000</v>
      </c>
      <c r="G87" s="269">
        <v>7730</v>
      </c>
      <c r="H87" s="269" t="s">
        <v>46</v>
      </c>
      <c r="I87" s="269">
        <v>18</v>
      </c>
      <c r="J87" s="269">
        <v>25.9</v>
      </c>
      <c r="K87" s="269" t="s">
        <v>46</v>
      </c>
      <c r="L87" s="269">
        <v>178</v>
      </c>
      <c r="M87" s="269">
        <v>21.9</v>
      </c>
      <c r="N87" s="269" t="s">
        <v>46</v>
      </c>
      <c r="O87" s="269">
        <v>8.1</v>
      </c>
      <c r="P87" s="269">
        <v>160000</v>
      </c>
      <c r="Q87" s="269">
        <f t="shared" si="2"/>
        <v>338301.9</v>
      </c>
      <c r="R87" s="270"/>
      <c r="S87" s="270"/>
      <c r="T87" s="270"/>
      <c r="U87" s="271"/>
      <c r="V87" s="280"/>
    </row>
    <row r="88" spans="1:22">
      <c r="A88" s="266">
        <v>2</v>
      </c>
      <c r="B88" s="267" t="s">
        <v>2</v>
      </c>
      <c r="C88" s="268">
        <v>3</v>
      </c>
      <c r="D88" s="356">
        <v>45644</v>
      </c>
      <c r="E88" s="269">
        <v>23.4</v>
      </c>
      <c r="F88" s="272">
        <v>28700</v>
      </c>
      <c r="G88" s="269">
        <v>893</v>
      </c>
      <c r="H88" s="269" t="s">
        <v>46</v>
      </c>
      <c r="I88" s="269">
        <v>3.7</v>
      </c>
      <c r="J88" s="269">
        <v>1.5</v>
      </c>
      <c r="K88" s="269" t="s">
        <v>46</v>
      </c>
      <c r="L88" s="269" t="s">
        <v>46</v>
      </c>
      <c r="M88" s="269">
        <v>1.4</v>
      </c>
      <c r="N88" s="269" t="s">
        <v>46</v>
      </c>
      <c r="O88" s="269" t="s">
        <v>46</v>
      </c>
      <c r="P88" s="269">
        <v>11200</v>
      </c>
      <c r="Q88" s="269">
        <f t="shared" si="2"/>
        <v>40823</v>
      </c>
      <c r="R88" s="270"/>
      <c r="S88" s="270"/>
      <c r="T88" s="270">
        <v>70</v>
      </c>
      <c r="U88" s="271" t="s">
        <v>101</v>
      </c>
      <c r="V88" s="280"/>
    </row>
    <row r="89" spans="1:22">
      <c r="A89" s="266">
        <v>2</v>
      </c>
      <c r="B89" s="267" t="s">
        <v>2</v>
      </c>
      <c r="C89" s="268">
        <v>3</v>
      </c>
      <c r="D89" s="356">
        <v>45244</v>
      </c>
      <c r="E89" s="269">
        <v>2480</v>
      </c>
      <c r="F89" s="272">
        <v>562000</v>
      </c>
      <c r="G89" s="269">
        <v>36000</v>
      </c>
      <c r="H89" s="269">
        <v>4.5</v>
      </c>
      <c r="I89" s="269">
        <v>72.099999999999994</v>
      </c>
      <c r="J89" s="269">
        <v>119</v>
      </c>
      <c r="K89" s="269">
        <v>3.5</v>
      </c>
      <c r="L89" s="269">
        <v>7.1</v>
      </c>
      <c r="M89" s="269">
        <v>9.4</v>
      </c>
      <c r="N89" s="269">
        <v>5.5</v>
      </c>
      <c r="O89" s="269" t="s">
        <v>46</v>
      </c>
      <c r="P89" s="269">
        <v>280000</v>
      </c>
      <c r="Q89" s="269">
        <f t="shared" si="2"/>
        <v>880701.1</v>
      </c>
      <c r="R89" s="270"/>
      <c r="S89" s="270"/>
      <c r="T89" s="270">
        <v>20800</v>
      </c>
      <c r="U89" s="271" t="s">
        <v>101</v>
      </c>
      <c r="V89" s="280"/>
    </row>
    <row r="90" spans="1:22">
      <c r="A90" s="266">
        <v>2</v>
      </c>
      <c r="B90" s="267" t="s">
        <v>2</v>
      </c>
      <c r="C90" s="268">
        <v>3</v>
      </c>
      <c r="D90" s="356">
        <v>45006</v>
      </c>
      <c r="E90" s="269">
        <v>576</v>
      </c>
      <c r="F90" s="272">
        <v>128000</v>
      </c>
      <c r="G90" s="269">
        <v>7550</v>
      </c>
      <c r="H90" s="269">
        <v>1.1000000000000001</v>
      </c>
      <c r="I90" s="269">
        <v>16.5</v>
      </c>
      <c r="J90" s="269">
        <v>33.1</v>
      </c>
      <c r="K90" s="269" t="s">
        <v>46</v>
      </c>
      <c r="L90" s="269">
        <v>44.9</v>
      </c>
      <c r="M90" s="269">
        <v>3</v>
      </c>
      <c r="N90" s="269" t="s">
        <v>46</v>
      </c>
      <c r="O90" s="269" t="s">
        <v>46</v>
      </c>
      <c r="P90" s="269">
        <v>106000</v>
      </c>
      <c r="Q90" s="269">
        <f t="shared" si="2"/>
        <v>242224.6</v>
      </c>
      <c r="R90" s="270"/>
      <c r="S90" s="270"/>
      <c r="T90" s="270">
        <v>13000</v>
      </c>
      <c r="U90" s="271" t="s">
        <v>101</v>
      </c>
      <c r="V90" s="280"/>
    </row>
    <row r="91" spans="1:22">
      <c r="A91" s="266">
        <v>2</v>
      </c>
      <c r="B91" s="267" t="s">
        <v>2</v>
      </c>
      <c r="C91" s="268">
        <v>3</v>
      </c>
      <c r="D91" s="356">
        <v>44978</v>
      </c>
      <c r="E91" s="269">
        <v>546</v>
      </c>
      <c r="F91" s="272">
        <v>181000</v>
      </c>
      <c r="G91" s="269">
        <v>8070</v>
      </c>
      <c r="H91" s="269" t="s">
        <v>46</v>
      </c>
      <c r="I91" s="269">
        <v>15.1</v>
      </c>
      <c r="J91" s="269">
        <v>37.200000000000003</v>
      </c>
      <c r="K91" s="269" t="s">
        <v>46</v>
      </c>
      <c r="L91" s="269">
        <v>31.8</v>
      </c>
      <c r="M91" s="269" t="s">
        <v>46</v>
      </c>
      <c r="N91" s="269" t="s">
        <v>46</v>
      </c>
      <c r="O91" s="269" t="s">
        <v>46</v>
      </c>
      <c r="P91" s="269">
        <v>193000</v>
      </c>
      <c r="Q91" s="269">
        <f t="shared" si="2"/>
        <v>382700.1</v>
      </c>
      <c r="R91" s="270"/>
      <c r="S91" s="270"/>
      <c r="T91" s="270">
        <v>12700</v>
      </c>
      <c r="U91" s="271" t="s">
        <v>101</v>
      </c>
      <c r="V91" s="280"/>
    </row>
    <row r="92" spans="1:22">
      <c r="A92" s="266">
        <v>2</v>
      </c>
      <c r="B92" s="267" t="s">
        <v>2</v>
      </c>
      <c r="C92" s="268">
        <v>3</v>
      </c>
      <c r="D92" s="356">
        <v>44950</v>
      </c>
      <c r="E92" s="269">
        <v>656</v>
      </c>
      <c r="F92" s="272">
        <v>199000</v>
      </c>
      <c r="G92" s="269">
        <v>8440</v>
      </c>
      <c r="H92" s="269" t="s">
        <v>46</v>
      </c>
      <c r="I92" s="269">
        <v>17.7</v>
      </c>
      <c r="J92" s="269">
        <v>48</v>
      </c>
      <c r="K92" s="269" t="s">
        <v>46</v>
      </c>
      <c r="L92" s="269">
        <v>34.9</v>
      </c>
      <c r="M92" s="269">
        <v>6</v>
      </c>
      <c r="N92" s="269">
        <v>1.2</v>
      </c>
      <c r="O92" s="269">
        <v>8.1</v>
      </c>
      <c r="P92" s="269">
        <v>122000</v>
      </c>
      <c r="Q92" s="269">
        <f t="shared" si="2"/>
        <v>330211.90000000002</v>
      </c>
      <c r="R92" s="270"/>
      <c r="S92" s="270"/>
      <c r="T92" s="270">
        <v>11400</v>
      </c>
      <c r="U92" s="271" t="s">
        <v>101</v>
      </c>
      <c r="V92" s="280"/>
    </row>
    <row r="93" spans="1:22">
      <c r="A93" s="266">
        <v>2</v>
      </c>
      <c r="B93" s="267" t="s">
        <v>2</v>
      </c>
      <c r="C93" s="268">
        <v>3</v>
      </c>
      <c r="D93" s="356">
        <v>44880</v>
      </c>
      <c r="E93" s="269">
        <v>422</v>
      </c>
      <c r="F93" s="272">
        <v>144000</v>
      </c>
      <c r="G93" s="269">
        <v>10600</v>
      </c>
      <c r="H93" s="269">
        <v>4.0999999999999996</v>
      </c>
      <c r="I93" s="269">
        <v>22.1</v>
      </c>
      <c r="J93" s="269">
        <v>28.5</v>
      </c>
      <c r="K93" s="269" t="s">
        <v>46</v>
      </c>
      <c r="L93" s="269">
        <v>14.1</v>
      </c>
      <c r="M93" s="269">
        <v>5.7</v>
      </c>
      <c r="N93" s="269" t="s">
        <v>46</v>
      </c>
      <c r="O93" s="269" t="s">
        <v>46</v>
      </c>
      <c r="P93" s="269">
        <v>234000</v>
      </c>
      <c r="Q93" s="269">
        <f t="shared" ref="Q93:Q156" si="3">SUM(E93:P93)</f>
        <v>389096.5</v>
      </c>
      <c r="R93" s="270"/>
      <c r="S93" s="270"/>
      <c r="T93" s="270">
        <v>90</v>
      </c>
      <c r="U93" s="271" t="s">
        <v>101</v>
      </c>
      <c r="V93" s="280"/>
    </row>
    <row r="94" spans="1:22">
      <c r="A94" s="266">
        <v>2</v>
      </c>
      <c r="B94" s="267" t="s">
        <v>2</v>
      </c>
      <c r="C94" s="268">
        <v>3</v>
      </c>
      <c r="D94" s="356">
        <v>44852</v>
      </c>
      <c r="E94" s="269">
        <v>300</v>
      </c>
      <c r="F94" s="272">
        <v>87500</v>
      </c>
      <c r="G94" s="269">
        <v>10700</v>
      </c>
      <c r="H94" s="269">
        <v>1.9</v>
      </c>
      <c r="I94" s="269">
        <v>22.7</v>
      </c>
      <c r="J94" s="269">
        <v>32.4</v>
      </c>
      <c r="K94" s="269" t="s">
        <v>46</v>
      </c>
      <c r="L94" s="269" t="s">
        <v>46</v>
      </c>
      <c r="M94" s="269">
        <v>4.4000000000000004</v>
      </c>
      <c r="N94" s="269" t="s">
        <v>46</v>
      </c>
      <c r="O94" s="269" t="s">
        <v>46</v>
      </c>
      <c r="P94" s="269">
        <v>233000</v>
      </c>
      <c r="Q94" s="269">
        <f t="shared" si="3"/>
        <v>331561.39999999997</v>
      </c>
      <c r="R94" s="270"/>
      <c r="S94" s="270"/>
      <c r="T94" s="270">
        <v>14300</v>
      </c>
      <c r="U94" s="271" t="s">
        <v>101</v>
      </c>
      <c r="V94" s="280"/>
    </row>
    <row r="95" spans="1:22">
      <c r="A95" s="266">
        <v>2</v>
      </c>
      <c r="B95" s="267" t="s">
        <v>2</v>
      </c>
      <c r="C95" s="268">
        <v>3</v>
      </c>
      <c r="D95" s="356">
        <v>44613</v>
      </c>
      <c r="E95" s="269">
        <v>1460</v>
      </c>
      <c r="F95" s="272">
        <v>415000</v>
      </c>
      <c r="G95" s="269">
        <v>14700</v>
      </c>
      <c r="H95" s="269">
        <v>4.9000000000000004</v>
      </c>
      <c r="I95" s="269">
        <v>27.8</v>
      </c>
      <c r="J95" s="269">
        <v>39.799999999999997</v>
      </c>
      <c r="K95" s="269" t="s">
        <v>46</v>
      </c>
      <c r="L95" s="269">
        <v>35.6</v>
      </c>
      <c r="M95" s="269">
        <v>13.6</v>
      </c>
      <c r="N95" s="269" t="s">
        <v>46</v>
      </c>
      <c r="O95" s="269" t="s">
        <v>46</v>
      </c>
      <c r="P95" s="269">
        <v>208000</v>
      </c>
      <c r="Q95" s="269">
        <f t="shared" si="3"/>
        <v>639281.69999999995</v>
      </c>
      <c r="R95" s="270"/>
      <c r="S95" s="270"/>
      <c r="T95" s="270">
        <v>10800</v>
      </c>
      <c r="U95" s="271" t="s">
        <v>101</v>
      </c>
      <c r="V95" s="280"/>
    </row>
    <row r="96" spans="1:22">
      <c r="A96" s="266">
        <v>2</v>
      </c>
      <c r="B96" s="267" t="s">
        <v>2</v>
      </c>
      <c r="C96" s="268">
        <v>3</v>
      </c>
      <c r="D96" s="356">
        <v>44586</v>
      </c>
      <c r="E96" s="269">
        <v>1380</v>
      </c>
      <c r="F96" s="272">
        <v>341000</v>
      </c>
      <c r="G96" s="269">
        <v>17300</v>
      </c>
      <c r="H96" s="269">
        <v>5.8</v>
      </c>
      <c r="I96" s="269">
        <v>32</v>
      </c>
      <c r="J96" s="269">
        <v>42.6</v>
      </c>
      <c r="K96" s="269" t="s">
        <v>46</v>
      </c>
      <c r="L96" s="269">
        <v>130</v>
      </c>
      <c r="M96" s="269">
        <v>16.600000000000001</v>
      </c>
      <c r="N96" s="269">
        <v>1.7</v>
      </c>
      <c r="O96" s="269">
        <v>38.799999999999997</v>
      </c>
      <c r="P96" s="269">
        <v>208000</v>
      </c>
      <c r="Q96" s="269">
        <f t="shared" si="3"/>
        <v>567947.5</v>
      </c>
      <c r="R96" s="270"/>
      <c r="S96" s="270"/>
      <c r="T96" s="270">
        <v>15300</v>
      </c>
      <c r="U96" s="271" t="s">
        <v>101</v>
      </c>
      <c r="V96" s="280"/>
    </row>
    <row r="97" spans="1:22">
      <c r="A97" s="266">
        <v>2</v>
      </c>
      <c r="B97" s="267" t="s">
        <v>2</v>
      </c>
      <c r="C97" s="268">
        <v>3</v>
      </c>
      <c r="D97" s="356">
        <v>44543</v>
      </c>
      <c r="E97" s="269">
        <v>2030</v>
      </c>
      <c r="F97" s="272">
        <v>389000</v>
      </c>
      <c r="G97" s="269">
        <v>19000</v>
      </c>
      <c r="H97" s="269">
        <v>4.4000000000000004</v>
      </c>
      <c r="I97" s="269">
        <v>36.9</v>
      </c>
      <c r="J97" s="269">
        <v>81.599999999999994</v>
      </c>
      <c r="K97" s="269" t="s">
        <v>46</v>
      </c>
      <c r="L97" s="269">
        <v>45.3</v>
      </c>
      <c r="M97" s="269">
        <v>21.6</v>
      </c>
      <c r="N97" s="269">
        <v>1.1000000000000001</v>
      </c>
      <c r="O97" s="269">
        <v>2.2000000000000002</v>
      </c>
      <c r="P97" s="269">
        <v>168000</v>
      </c>
      <c r="Q97" s="269">
        <f t="shared" si="3"/>
        <v>578223.1</v>
      </c>
      <c r="R97" s="270"/>
      <c r="S97" s="270"/>
      <c r="T97" s="270">
        <v>18600</v>
      </c>
      <c r="U97" s="271"/>
      <c r="V97" s="280"/>
    </row>
    <row r="98" spans="1:22">
      <c r="A98" s="266">
        <v>2</v>
      </c>
      <c r="B98" s="267" t="s">
        <v>2</v>
      </c>
      <c r="C98" s="268">
        <v>3</v>
      </c>
      <c r="D98" s="356">
        <v>44515</v>
      </c>
      <c r="E98" s="269">
        <v>1630</v>
      </c>
      <c r="F98" s="272">
        <v>525000</v>
      </c>
      <c r="G98" s="269">
        <v>16700</v>
      </c>
      <c r="H98" s="269">
        <v>7.5</v>
      </c>
      <c r="I98" s="269">
        <v>32.6</v>
      </c>
      <c r="J98" s="269">
        <v>58.1</v>
      </c>
      <c r="K98" s="269" t="s">
        <v>46</v>
      </c>
      <c r="L98" s="269">
        <v>36.1</v>
      </c>
      <c r="M98" s="269">
        <v>22</v>
      </c>
      <c r="N98" s="269" t="s">
        <v>46</v>
      </c>
      <c r="O98" s="269" t="s">
        <v>46</v>
      </c>
      <c r="P98" s="269">
        <v>176000</v>
      </c>
      <c r="Q98" s="269">
        <f t="shared" si="3"/>
        <v>719486.29999999993</v>
      </c>
      <c r="R98" s="270"/>
      <c r="S98" s="270"/>
      <c r="T98" s="270">
        <v>15</v>
      </c>
      <c r="U98" s="271" t="s">
        <v>101</v>
      </c>
      <c r="V98" s="280"/>
    </row>
    <row r="99" spans="1:22">
      <c r="A99" s="266">
        <v>2</v>
      </c>
      <c r="B99" s="267" t="s">
        <v>2</v>
      </c>
      <c r="C99" s="268">
        <v>3</v>
      </c>
      <c r="D99" s="356">
        <v>44489</v>
      </c>
      <c r="E99" s="269">
        <v>1380</v>
      </c>
      <c r="F99" s="272">
        <v>497000</v>
      </c>
      <c r="G99" s="269">
        <v>15100</v>
      </c>
      <c r="H99" s="269">
        <v>7.3</v>
      </c>
      <c r="I99" s="269">
        <v>25.5</v>
      </c>
      <c r="J99" s="269">
        <v>88.2</v>
      </c>
      <c r="K99" s="269" t="s">
        <v>46</v>
      </c>
      <c r="L99" s="269">
        <v>19.3</v>
      </c>
      <c r="M99" s="269">
        <v>24.3</v>
      </c>
      <c r="N99" s="269" t="s">
        <v>46</v>
      </c>
      <c r="O99" s="269">
        <v>4</v>
      </c>
      <c r="P99" s="269">
        <v>91300</v>
      </c>
      <c r="Q99" s="269">
        <f t="shared" si="3"/>
        <v>604948.6</v>
      </c>
      <c r="R99" s="270"/>
      <c r="S99" s="270"/>
      <c r="T99" s="270"/>
      <c r="U99" s="271"/>
      <c r="V99" s="280"/>
    </row>
    <row r="100" spans="1:22">
      <c r="A100" s="266">
        <v>2</v>
      </c>
      <c r="B100" s="267" t="s">
        <v>2</v>
      </c>
      <c r="C100" s="268">
        <v>3</v>
      </c>
      <c r="D100" s="356">
        <v>44466</v>
      </c>
      <c r="E100" s="269">
        <v>2420</v>
      </c>
      <c r="F100" s="272">
        <v>382000</v>
      </c>
      <c r="G100" s="269">
        <v>17300</v>
      </c>
      <c r="H100" s="269">
        <v>8.6</v>
      </c>
      <c r="I100" s="269">
        <v>39.5</v>
      </c>
      <c r="J100" s="269">
        <v>128</v>
      </c>
      <c r="K100" s="269">
        <v>167.5</v>
      </c>
      <c r="L100" s="269">
        <v>9.1</v>
      </c>
      <c r="M100" s="269">
        <v>23.8</v>
      </c>
      <c r="N100" s="269" t="s">
        <v>46</v>
      </c>
      <c r="O100" s="269">
        <v>1.8</v>
      </c>
      <c r="P100" s="269">
        <v>68900</v>
      </c>
      <c r="Q100" s="269">
        <f t="shared" si="3"/>
        <v>470998.29999999993</v>
      </c>
      <c r="R100" s="270"/>
      <c r="S100" s="270"/>
      <c r="T100" s="270"/>
      <c r="U100" s="271"/>
      <c r="V100" s="280"/>
    </row>
    <row r="101" spans="1:22">
      <c r="A101" s="266">
        <v>2</v>
      </c>
      <c r="B101" s="267" t="s">
        <v>2</v>
      </c>
      <c r="C101" s="268">
        <v>3</v>
      </c>
      <c r="D101" s="356">
        <v>44431</v>
      </c>
      <c r="E101" s="269">
        <v>903</v>
      </c>
      <c r="F101" s="272">
        <v>213000</v>
      </c>
      <c r="G101" s="269">
        <v>109000</v>
      </c>
      <c r="H101" s="269">
        <v>6.8</v>
      </c>
      <c r="I101" s="269">
        <v>25.6</v>
      </c>
      <c r="J101" s="269">
        <v>86.8</v>
      </c>
      <c r="K101" s="269" t="s">
        <v>46</v>
      </c>
      <c r="L101" s="269">
        <v>5.7</v>
      </c>
      <c r="M101" s="269">
        <v>19.100000000000001</v>
      </c>
      <c r="N101" s="269" t="s">
        <v>46</v>
      </c>
      <c r="O101" s="269">
        <v>7.8</v>
      </c>
      <c r="P101" s="269">
        <v>42400</v>
      </c>
      <c r="Q101" s="269">
        <f t="shared" si="3"/>
        <v>365454.79999999993</v>
      </c>
      <c r="R101" s="270"/>
      <c r="S101" s="270"/>
      <c r="T101" s="270"/>
      <c r="U101" s="271"/>
      <c r="V101" s="280"/>
    </row>
    <row r="102" spans="1:22">
      <c r="A102" s="266">
        <v>2</v>
      </c>
      <c r="B102" s="267" t="s">
        <v>2</v>
      </c>
      <c r="C102" s="268">
        <v>3</v>
      </c>
      <c r="D102" s="356">
        <v>44410</v>
      </c>
      <c r="E102" s="269">
        <v>806</v>
      </c>
      <c r="F102" s="272">
        <v>290000</v>
      </c>
      <c r="G102" s="269">
        <v>9740</v>
      </c>
      <c r="H102" s="269" t="s">
        <v>46</v>
      </c>
      <c r="I102" s="269">
        <v>18.600000000000001</v>
      </c>
      <c r="J102" s="269">
        <v>91.9</v>
      </c>
      <c r="K102" s="269" t="s">
        <v>46</v>
      </c>
      <c r="L102" s="269">
        <v>12.2</v>
      </c>
      <c r="M102" s="269">
        <v>28.4</v>
      </c>
      <c r="N102" s="269" t="s">
        <v>46</v>
      </c>
      <c r="O102" s="269">
        <v>2.5</v>
      </c>
      <c r="P102" s="269">
        <v>51200</v>
      </c>
      <c r="Q102" s="269">
        <f t="shared" si="3"/>
        <v>351899.60000000003</v>
      </c>
      <c r="R102" s="270"/>
      <c r="S102" s="270"/>
      <c r="T102" s="270"/>
      <c r="U102" s="271"/>
      <c r="V102" s="280"/>
    </row>
    <row r="103" spans="1:22">
      <c r="A103" s="266">
        <v>2</v>
      </c>
      <c r="B103" s="267" t="s">
        <v>2</v>
      </c>
      <c r="C103" s="268">
        <v>3</v>
      </c>
      <c r="D103" s="356">
        <v>44371</v>
      </c>
      <c r="E103" s="269">
        <v>1910</v>
      </c>
      <c r="F103" s="272">
        <v>548000</v>
      </c>
      <c r="G103" s="269">
        <v>20000</v>
      </c>
      <c r="H103" s="269">
        <v>14.3</v>
      </c>
      <c r="I103" s="269">
        <v>42.5</v>
      </c>
      <c r="J103" s="269">
        <v>187</v>
      </c>
      <c r="K103" s="269">
        <v>1.4</v>
      </c>
      <c r="L103" s="269">
        <v>25.1</v>
      </c>
      <c r="M103" s="269">
        <v>63</v>
      </c>
      <c r="N103" s="269" t="s">
        <v>46</v>
      </c>
      <c r="O103" s="269">
        <v>6.4</v>
      </c>
      <c r="P103" s="269">
        <v>155000</v>
      </c>
      <c r="Q103" s="269">
        <f t="shared" si="3"/>
        <v>725249.70000000007</v>
      </c>
      <c r="R103" s="270"/>
      <c r="S103" s="270"/>
      <c r="T103" s="270"/>
      <c r="U103" s="271"/>
      <c r="V103" s="280"/>
    </row>
    <row r="104" spans="1:22">
      <c r="A104" s="266">
        <v>2</v>
      </c>
      <c r="B104" s="267" t="s">
        <v>2</v>
      </c>
      <c r="C104" s="268">
        <v>3</v>
      </c>
      <c r="D104" s="356">
        <v>44341</v>
      </c>
      <c r="E104" s="269">
        <v>1190</v>
      </c>
      <c r="F104" s="272">
        <v>544000</v>
      </c>
      <c r="G104" s="269">
        <v>20400</v>
      </c>
      <c r="H104" s="269">
        <v>15</v>
      </c>
      <c r="I104" s="269">
        <v>37.9</v>
      </c>
      <c r="J104" s="269">
        <v>261</v>
      </c>
      <c r="K104" s="269">
        <v>1.2</v>
      </c>
      <c r="L104" s="269">
        <v>4490</v>
      </c>
      <c r="M104" s="269">
        <v>67</v>
      </c>
      <c r="N104" s="269">
        <v>1.7</v>
      </c>
      <c r="O104" s="269">
        <v>7.2</v>
      </c>
      <c r="P104" s="269">
        <v>110000</v>
      </c>
      <c r="Q104" s="269">
        <f t="shared" si="3"/>
        <v>680470.99999999988</v>
      </c>
      <c r="R104" s="270"/>
      <c r="S104" s="270">
        <v>6740</v>
      </c>
      <c r="T104" s="270"/>
      <c r="U104" s="271"/>
      <c r="V104" s="280"/>
    </row>
    <row r="105" spans="1:22">
      <c r="A105" s="266">
        <v>2</v>
      </c>
      <c r="B105" s="267" t="s">
        <v>2</v>
      </c>
      <c r="C105" s="268">
        <v>3</v>
      </c>
      <c r="D105" s="356">
        <v>44312</v>
      </c>
      <c r="E105" s="269">
        <v>1410</v>
      </c>
      <c r="F105" s="272">
        <v>646000</v>
      </c>
      <c r="G105" s="269">
        <v>24500</v>
      </c>
      <c r="H105" s="269">
        <v>22.3</v>
      </c>
      <c r="I105" s="269">
        <v>45.7</v>
      </c>
      <c r="J105" s="269">
        <v>552</v>
      </c>
      <c r="K105" s="269">
        <v>3</v>
      </c>
      <c r="L105" s="269">
        <v>82.7</v>
      </c>
      <c r="M105" s="269">
        <v>36.9</v>
      </c>
      <c r="N105" s="269">
        <v>2.8</v>
      </c>
      <c r="O105" s="269" t="s">
        <v>46</v>
      </c>
      <c r="P105" s="269">
        <v>50300</v>
      </c>
      <c r="Q105" s="269">
        <f t="shared" si="3"/>
        <v>722955.4</v>
      </c>
      <c r="R105" s="270"/>
      <c r="S105" s="270"/>
      <c r="T105" s="270"/>
      <c r="U105" s="271"/>
      <c r="V105" s="280"/>
    </row>
    <row r="106" spans="1:22" ht="15" thickBot="1">
      <c r="A106" s="297">
        <v>2</v>
      </c>
      <c r="B106" s="298" t="s">
        <v>2</v>
      </c>
      <c r="C106" s="299">
        <v>3</v>
      </c>
      <c r="D106" s="360">
        <v>44159</v>
      </c>
      <c r="E106" s="300">
        <v>579</v>
      </c>
      <c r="F106" s="300">
        <v>359000</v>
      </c>
      <c r="G106" s="300">
        <v>15100</v>
      </c>
      <c r="H106" s="300">
        <v>15.7</v>
      </c>
      <c r="I106" s="300">
        <v>29.4</v>
      </c>
      <c r="J106" s="300">
        <v>282</v>
      </c>
      <c r="K106" s="300">
        <v>1.7</v>
      </c>
      <c r="L106" s="300">
        <v>222</v>
      </c>
      <c r="M106" s="300">
        <v>61.9</v>
      </c>
      <c r="N106" s="300">
        <v>1.3</v>
      </c>
      <c r="O106" s="300">
        <v>10.4</v>
      </c>
      <c r="P106" s="300">
        <v>22500</v>
      </c>
      <c r="Q106" s="300">
        <f t="shared" si="3"/>
        <v>397803.40000000008</v>
      </c>
      <c r="R106" s="295"/>
      <c r="S106" s="295"/>
      <c r="T106" s="295"/>
      <c r="U106" s="296"/>
      <c r="V106" s="280"/>
    </row>
    <row r="107" spans="1:22">
      <c r="A107" s="281">
        <v>2</v>
      </c>
      <c r="B107" s="282" t="s">
        <v>2</v>
      </c>
      <c r="C107" s="283">
        <v>4</v>
      </c>
      <c r="D107" s="358">
        <v>46085</v>
      </c>
      <c r="E107" s="284" t="s">
        <v>46</v>
      </c>
      <c r="F107" s="284">
        <v>317</v>
      </c>
      <c r="G107" s="284">
        <v>4620</v>
      </c>
      <c r="H107" s="284" t="s">
        <v>46</v>
      </c>
      <c r="I107" s="284">
        <v>33</v>
      </c>
      <c r="J107" s="284" t="s">
        <v>48</v>
      </c>
      <c r="K107" s="284">
        <v>33</v>
      </c>
      <c r="L107" s="284">
        <v>13</v>
      </c>
      <c r="M107" s="284" t="s">
        <v>46</v>
      </c>
      <c r="N107" s="284" t="s">
        <v>46</v>
      </c>
      <c r="O107" s="284">
        <v>10.9</v>
      </c>
      <c r="P107" s="284">
        <v>106000</v>
      </c>
      <c r="Q107" s="284">
        <f t="shared" si="3"/>
        <v>111026.9</v>
      </c>
      <c r="R107" s="285"/>
      <c r="S107" s="285"/>
      <c r="T107" s="8">
        <v>23900</v>
      </c>
      <c r="U107" s="286"/>
      <c r="V107" s="280"/>
    </row>
    <row r="108" spans="1:22">
      <c r="A108" s="287">
        <v>2</v>
      </c>
      <c r="B108" s="288" t="s">
        <v>2</v>
      </c>
      <c r="C108" s="289">
        <v>4</v>
      </c>
      <c r="D108" s="359">
        <v>46071</v>
      </c>
      <c r="E108" s="290" t="s">
        <v>46</v>
      </c>
      <c r="F108" s="290">
        <v>358</v>
      </c>
      <c r="G108" s="290">
        <v>4370</v>
      </c>
      <c r="H108" s="290" t="s">
        <v>46</v>
      </c>
      <c r="I108" s="290">
        <v>29</v>
      </c>
      <c r="J108" s="290" t="s">
        <v>48</v>
      </c>
      <c r="K108" s="290" t="s">
        <v>46</v>
      </c>
      <c r="L108" s="290">
        <v>55</v>
      </c>
      <c r="M108" s="290" t="s">
        <v>46</v>
      </c>
      <c r="N108" s="290" t="s">
        <v>46</v>
      </c>
      <c r="O108" s="290" t="s">
        <v>46</v>
      </c>
      <c r="P108" s="290">
        <v>189000</v>
      </c>
      <c r="Q108" s="290">
        <f t="shared" si="3"/>
        <v>193812</v>
      </c>
      <c r="R108" s="270"/>
      <c r="S108" s="270"/>
      <c r="T108" s="12"/>
      <c r="U108" s="271"/>
      <c r="V108" s="280"/>
    </row>
    <row r="109" spans="1:22">
      <c r="A109" s="287">
        <v>2</v>
      </c>
      <c r="B109" s="288" t="s">
        <v>2</v>
      </c>
      <c r="C109" s="289">
        <v>4</v>
      </c>
      <c r="D109" s="359">
        <v>46028</v>
      </c>
      <c r="E109" s="290" t="s">
        <v>46</v>
      </c>
      <c r="F109" s="290">
        <v>743</v>
      </c>
      <c r="G109" s="290">
        <v>4870</v>
      </c>
      <c r="H109" s="290" t="s">
        <v>46</v>
      </c>
      <c r="I109" s="290">
        <v>19.5</v>
      </c>
      <c r="J109" s="290">
        <v>5.4</v>
      </c>
      <c r="K109" s="290" t="s">
        <v>46</v>
      </c>
      <c r="L109" s="290" t="s">
        <v>33</v>
      </c>
      <c r="M109" s="290" t="s">
        <v>46</v>
      </c>
      <c r="N109" s="290" t="s">
        <v>46</v>
      </c>
      <c r="O109" s="290" t="s">
        <v>46</v>
      </c>
      <c r="P109" s="290">
        <v>195000</v>
      </c>
      <c r="Q109" s="290">
        <f t="shared" si="3"/>
        <v>200637.9</v>
      </c>
      <c r="R109" s="270"/>
      <c r="S109" s="270"/>
      <c r="T109" s="270"/>
      <c r="U109" s="271"/>
      <c r="V109" s="280"/>
    </row>
    <row r="110" spans="1:22">
      <c r="A110" s="287">
        <v>2</v>
      </c>
      <c r="B110" s="288" t="s">
        <v>2</v>
      </c>
      <c r="C110" s="289">
        <v>4</v>
      </c>
      <c r="D110" s="359">
        <v>45980</v>
      </c>
      <c r="E110" s="290" t="s">
        <v>46</v>
      </c>
      <c r="F110" s="290">
        <v>228</v>
      </c>
      <c r="G110" s="290">
        <v>6720</v>
      </c>
      <c r="H110" s="290" t="s">
        <v>46</v>
      </c>
      <c r="I110" s="290">
        <v>25</v>
      </c>
      <c r="J110" s="290">
        <v>5</v>
      </c>
      <c r="K110" s="290" t="s">
        <v>46</v>
      </c>
      <c r="L110" s="290" t="s">
        <v>46</v>
      </c>
      <c r="M110" s="290" t="s">
        <v>46</v>
      </c>
      <c r="N110" s="290" t="s">
        <v>46</v>
      </c>
      <c r="O110" s="290" t="s">
        <v>46</v>
      </c>
      <c r="P110" s="290">
        <v>389000</v>
      </c>
      <c r="Q110" s="290">
        <f t="shared" si="3"/>
        <v>395978</v>
      </c>
      <c r="R110" s="270" t="s">
        <v>36</v>
      </c>
      <c r="S110" s="270">
        <v>5740</v>
      </c>
      <c r="T110" s="270">
        <v>41200</v>
      </c>
      <c r="U110" s="271"/>
      <c r="V110" s="280"/>
    </row>
    <row r="111" spans="1:22">
      <c r="A111" s="287">
        <v>2</v>
      </c>
      <c r="B111" s="288" t="s">
        <v>2</v>
      </c>
      <c r="C111" s="289">
        <v>4</v>
      </c>
      <c r="D111" s="359">
        <v>45792</v>
      </c>
      <c r="E111" s="290">
        <v>41</v>
      </c>
      <c r="F111" s="290">
        <v>8520</v>
      </c>
      <c r="G111" s="290">
        <v>9930</v>
      </c>
      <c r="H111" s="290" t="s">
        <v>46</v>
      </c>
      <c r="I111" s="290">
        <v>27</v>
      </c>
      <c r="J111" s="290">
        <v>10</v>
      </c>
      <c r="K111" s="290" t="s">
        <v>46</v>
      </c>
      <c r="L111" s="290">
        <v>14</v>
      </c>
      <c r="M111" s="290" t="s">
        <v>46</v>
      </c>
      <c r="N111" s="290" t="s">
        <v>46</v>
      </c>
      <c r="O111" s="290">
        <v>10</v>
      </c>
      <c r="P111" s="290">
        <v>356000</v>
      </c>
      <c r="Q111" s="290">
        <f t="shared" si="3"/>
        <v>374552</v>
      </c>
      <c r="R111" s="270">
        <v>1.3</v>
      </c>
      <c r="S111" s="270">
        <v>2780</v>
      </c>
      <c r="T111" s="270">
        <v>14100</v>
      </c>
      <c r="U111" s="271"/>
      <c r="V111" s="280" t="s">
        <v>46</v>
      </c>
    </row>
    <row r="112" spans="1:22">
      <c r="A112" s="287">
        <v>2</v>
      </c>
      <c r="B112" s="288" t="s">
        <v>2</v>
      </c>
      <c r="C112" s="289">
        <v>4</v>
      </c>
      <c r="D112" s="359">
        <v>45567</v>
      </c>
      <c r="E112" s="290">
        <v>1500</v>
      </c>
      <c r="F112" s="290">
        <v>579000</v>
      </c>
      <c r="G112" s="290">
        <v>20100</v>
      </c>
      <c r="H112" s="290" t="s">
        <v>46</v>
      </c>
      <c r="I112" s="290">
        <v>37</v>
      </c>
      <c r="J112" s="290">
        <v>33</v>
      </c>
      <c r="K112" s="290" t="s">
        <v>46</v>
      </c>
      <c r="L112" s="290">
        <v>122</v>
      </c>
      <c r="M112" s="290">
        <v>15</v>
      </c>
      <c r="N112" s="290" t="s">
        <v>46</v>
      </c>
      <c r="O112" s="290" t="s">
        <v>46</v>
      </c>
      <c r="P112" s="290">
        <v>273000</v>
      </c>
      <c r="Q112" s="290">
        <f t="shared" si="3"/>
        <v>873807</v>
      </c>
      <c r="R112" s="270"/>
      <c r="S112" s="270"/>
      <c r="T112" s="270">
        <v>11100</v>
      </c>
      <c r="U112" s="271" t="s">
        <v>101</v>
      </c>
      <c r="V112" s="280"/>
    </row>
    <row r="113" spans="1:22">
      <c r="A113" s="287">
        <v>2</v>
      </c>
      <c r="B113" s="288" t="s">
        <v>2</v>
      </c>
      <c r="C113" s="289">
        <v>4</v>
      </c>
      <c r="D113" s="359">
        <v>45538</v>
      </c>
      <c r="E113" s="290">
        <v>1620</v>
      </c>
      <c r="F113" s="290">
        <v>514000</v>
      </c>
      <c r="G113" s="290">
        <v>18500</v>
      </c>
      <c r="H113" s="290" t="s">
        <v>46</v>
      </c>
      <c r="I113" s="290">
        <v>38</v>
      </c>
      <c r="J113" s="290">
        <v>50</v>
      </c>
      <c r="K113" s="290" t="s">
        <v>46</v>
      </c>
      <c r="L113" s="290">
        <v>452</v>
      </c>
      <c r="M113" s="290">
        <v>24</v>
      </c>
      <c r="N113" s="290" t="s">
        <v>46</v>
      </c>
      <c r="O113" s="290">
        <v>12</v>
      </c>
      <c r="P113" s="290">
        <v>240000</v>
      </c>
      <c r="Q113" s="290">
        <f t="shared" si="3"/>
        <v>774696</v>
      </c>
      <c r="R113" s="270"/>
      <c r="S113" s="270"/>
      <c r="T113" s="270">
        <v>9860</v>
      </c>
      <c r="U113" s="271" t="s">
        <v>101</v>
      </c>
      <c r="V113" s="280"/>
    </row>
    <row r="114" spans="1:22">
      <c r="A114" s="287">
        <v>2</v>
      </c>
      <c r="B114" s="288" t="s">
        <v>2</v>
      </c>
      <c r="C114" s="289">
        <v>4</v>
      </c>
      <c r="D114" s="359">
        <v>45510</v>
      </c>
      <c r="E114" s="290">
        <v>192</v>
      </c>
      <c r="F114" s="290">
        <v>637000</v>
      </c>
      <c r="G114" s="290">
        <v>21100</v>
      </c>
      <c r="H114" s="290" t="s">
        <v>46</v>
      </c>
      <c r="I114" s="290">
        <v>4.7</v>
      </c>
      <c r="J114" s="290">
        <v>6.2</v>
      </c>
      <c r="K114" s="290" t="s">
        <v>46</v>
      </c>
      <c r="L114" s="290">
        <v>97.5</v>
      </c>
      <c r="M114" s="290">
        <v>4.2</v>
      </c>
      <c r="N114" s="290" t="s">
        <v>46</v>
      </c>
      <c r="O114" s="290">
        <v>2.2000000000000002</v>
      </c>
      <c r="P114" s="290">
        <v>224000</v>
      </c>
      <c r="Q114" s="290">
        <f t="shared" si="3"/>
        <v>882406.79999999981</v>
      </c>
      <c r="R114" s="270"/>
      <c r="S114" s="270"/>
      <c r="T114" s="270">
        <v>7080</v>
      </c>
      <c r="U114" s="271" t="s">
        <v>101</v>
      </c>
      <c r="V114" s="280"/>
    </row>
    <row r="115" spans="1:22">
      <c r="A115" s="287">
        <v>2</v>
      </c>
      <c r="B115" s="288" t="s">
        <v>2</v>
      </c>
      <c r="C115" s="289">
        <v>4</v>
      </c>
      <c r="D115" s="359">
        <v>45482</v>
      </c>
      <c r="E115" s="290">
        <v>1770</v>
      </c>
      <c r="F115" s="290">
        <v>585000</v>
      </c>
      <c r="G115" s="290">
        <v>21100</v>
      </c>
      <c r="H115" s="290" t="s">
        <v>46</v>
      </c>
      <c r="I115" s="290">
        <v>45</v>
      </c>
      <c r="J115" s="290">
        <v>30</v>
      </c>
      <c r="K115" s="290" t="s">
        <v>46</v>
      </c>
      <c r="L115" s="290">
        <v>180</v>
      </c>
      <c r="M115" s="290">
        <v>17</v>
      </c>
      <c r="N115" s="290" t="s">
        <v>46</v>
      </c>
      <c r="O115" s="290" t="s">
        <v>46</v>
      </c>
      <c r="P115" s="290">
        <v>287000</v>
      </c>
      <c r="Q115" s="290">
        <f t="shared" si="3"/>
        <v>895142</v>
      </c>
      <c r="R115" s="270"/>
      <c r="S115" s="270"/>
      <c r="T115" s="270">
        <v>12200</v>
      </c>
      <c r="U115" s="271" t="s">
        <v>101</v>
      </c>
      <c r="V115" s="280"/>
    </row>
    <row r="116" spans="1:22">
      <c r="A116" s="287">
        <v>2</v>
      </c>
      <c r="B116" s="288" t="s">
        <v>2</v>
      </c>
      <c r="C116" s="289">
        <v>4</v>
      </c>
      <c r="D116" s="359">
        <v>45454</v>
      </c>
      <c r="E116" s="290">
        <v>1440</v>
      </c>
      <c r="F116" s="290">
        <v>564000</v>
      </c>
      <c r="G116" s="290">
        <v>22500</v>
      </c>
      <c r="H116" s="290">
        <v>1.6</v>
      </c>
      <c r="I116" s="290">
        <v>42.5</v>
      </c>
      <c r="J116" s="290">
        <v>35.1</v>
      </c>
      <c r="K116" s="290">
        <v>1.9</v>
      </c>
      <c r="L116" s="290">
        <v>130</v>
      </c>
      <c r="M116" s="290">
        <v>13</v>
      </c>
      <c r="N116" s="290">
        <v>1.6</v>
      </c>
      <c r="O116" s="290">
        <v>3.8</v>
      </c>
      <c r="P116" s="290">
        <v>216000</v>
      </c>
      <c r="Q116" s="290">
        <f t="shared" si="3"/>
        <v>804169.5</v>
      </c>
      <c r="R116" s="270"/>
      <c r="S116" s="270"/>
      <c r="T116" s="270">
        <v>17100</v>
      </c>
      <c r="U116" s="271" t="s">
        <v>101</v>
      </c>
      <c r="V116" s="280"/>
    </row>
    <row r="117" spans="1:22">
      <c r="A117" s="287">
        <v>2</v>
      </c>
      <c r="B117" s="288" t="s">
        <v>2</v>
      </c>
      <c r="C117" s="289">
        <v>4</v>
      </c>
      <c r="D117" s="359">
        <v>45426</v>
      </c>
      <c r="E117" s="290">
        <v>1930</v>
      </c>
      <c r="F117" s="290">
        <v>719000</v>
      </c>
      <c r="G117" s="290">
        <v>24100</v>
      </c>
      <c r="H117" s="290" t="s">
        <v>53</v>
      </c>
      <c r="I117" s="290">
        <v>48</v>
      </c>
      <c r="J117" s="290">
        <v>55</v>
      </c>
      <c r="K117" s="290" t="s">
        <v>53</v>
      </c>
      <c r="L117" s="290">
        <v>61</v>
      </c>
      <c r="M117" s="290">
        <v>11</v>
      </c>
      <c r="N117" s="290" t="s">
        <v>53</v>
      </c>
      <c r="O117" s="290" t="s">
        <v>53</v>
      </c>
      <c r="P117" s="290">
        <v>225000</v>
      </c>
      <c r="Q117" s="290">
        <f t="shared" si="3"/>
        <v>970205</v>
      </c>
      <c r="R117" s="270"/>
      <c r="S117" s="270"/>
      <c r="T117" s="270">
        <v>8750</v>
      </c>
      <c r="U117" s="271" t="s">
        <v>101</v>
      </c>
      <c r="V117" s="280"/>
    </row>
    <row r="118" spans="1:22">
      <c r="A118" s="287">
        <v>2</v>
      </c>
      <c r="B118" s="288" t="s">
        <v>2</v>
      </c>
      <c r="C118" s="289">
        <v>4</v>
      </c>
      <c r="D118" s="359">
        <v>45386</v>
      </c>
      <c r="E118" s="290">
        <v>2280</v>
      </c>
      <c r="F118" s="290">
        <v>651000</v>
      </c>
      <c r="G118" s="290">
        <v>26600</v>
      </c>
      <c r="H118" s="290">
        <v>3</v>
      </c>
      <c r="I118" s="290">
        <v>70.5</v>
      </c>
      <c r="J118" s="290">
        <v>99.5</v>
      </c>
      <c r="K118" s="290">
        <v>4.7</v>
      </c>
      <c r="L118" s="290">
        <v>9.4</v>
      </c>
      <c r="M118" s="290">
        <v>11.9</v>
      </c>
      <c r="N118" s="290">
        <v>5.7</v>
      </c>
      <c r="O118" s="290" t="s">
        <v>46</v>
      </c>
      <c r="P118" s="290">
        <v>218000</v>
      </c>
      <c r="Q118" s="290">
        <f t="shared" si="3"/>
        <v>898084.7</v>
      </c>
      <c r="R118" s="270"/>
      <c r="S118" s="270"/>
      <c r="T118" s="270">
        <v>11900</v>
      </c>
      <c r="U118" s="271" t="s">
        <v>101</v>
      </c>
      <c r="V118" s="280"/>
    </row>
    <row r="119" spans="1:22">
      <c r="A119" s="287">
        <v>2</v>
      </c>
      <c r="B119" s="288" t="s">
        <v>2</v>
      </c>
      <c r="C119" s="289">
        <v>4</v>
      </c>
      <c r="D119" s="359">
        <v>45357</v>
      </c>
      <c r="E119" s="290">
        <v>1520</v>
      </c>
      <c r="F119" s="290">
        <v>568000</v>
      </c>
      <c r="G119" s="290">
        <v>20600</v>
      </c>
      <c r="H119" s="290">
        <v>3.3</v>
      </c>
      <c r="I119" s="290">
        <v>43.8</v>
      </c>
      <c r="J119" s="290">
        <v>46</v>
      </c>
      <c r="K119" s="290">
        <v>2.4</v>
      </c>
      <c r="L119" s="290">
        <v>6</v>
      </c>
      <c r="M119" s="290">
        <v>7.1</v>
      </c>
      <c r="N119" s="290">
        <v>3.7</v>
      </c>
      <c r="O119" s="290" t="s">
        <v>46</v>
      </c>
      <c r="P119" s="290">
        <v>200000</v>
      </c>
      <c r="Q119" s="290">
        <f t="shared" si="3"/>
        <v>790232.3</v>
      </c>
      <c r="R119" s="270"/>
      <c r="S119" s="270"/>
      <c r="T119" s="270">
        <v>9070</v>
      </c>
      <c r="U119" s="271" t="s">
        <v>101</v>
      </c>
      <c r="V119" s="280"/>
    </row>
    <row r="120" spans="1:22">
      <c r="A120" s="287">
        <v>2</v>
      </c>
      <c r="B120" s="288" t="s">
        <v>2</v>
      </c>
      <c r="C120" s="289">
        <v>4</v>
      </c>
      <c r="D120" s="359">
        <v>45328</v>
      </c>
      <c r="E120" s="290">
        <v>1830</v>
      </c>
      <c r="F120" s="290">
        <v>619000</v>
      </c>
      <c r="G120" s="290">
        <v>22700</v>
      </c>
      <c r="H120" s="290">
        <v>3.4</v>
      </c>
      <c r="I120" s="290">
        <v>44.8</v>
      </c>
      <c r="J120" s="290">
        <v>74.2</v>
      </c>
      <c r="K120" s="290">
        <v>2.5</v>
      </c>
      <c r="L120" s="290">
        <v>17</v>
      </c>
      <c r="M120" s="290">
        <v>11.5</v>
      </c>
      <c r="N120" s="290">
        <v>5</v>
      </c>
      <c r="O120" s="290" t="s">
        <v>46</v>
      </c>
      <c r="P120" s="290">
        <v>128000</v>
      </c>
      <c r="Q120" s="290">
        <f t="shared" si="3"/>
        <v>771688.4</v>
      </c>
      <c r="R120" s="270"/>
      <c r="S120" s="270"/>
      <c r="T120" s="270">
        <v>20400</v>
      </c>
      <c r="U120" s="271" t="s">
        <v>101</v>
      </c>
      <c r="V120" s="280"/>
    </row>
    <row r="121" spans="1:22">
      <c r="A121" s="287">
        <v>2</v>
      </c>
      <c r="B121" s="288" t="s">
        <v>2</v>
      </c>
      <c r="C121" s="289">
        <v>4</v>
      </c>
      <c r="D121" s="359">
        <v>45300</v>
      </c>
      <c r="E121" s="290">
        <v>2180</v>
      </c>
      <c r="F121" s="290">
        <v>746000</v>
      </c>
      <c r="G121" s="290">
        <v>26900</v>
      </c>
      <c r="H121" s="290">
        <v>3.4</v>
      </c>
      <c r="I121" s="290">
        <v>54.2</v>
      </c>
      <c r="J121" s="290">
        <v>96.3</v>
      </c>
      <c r="K121" s="290">
        <v>2.9</v>
      </c>
      <c r="L121" s="290">
        <v>21</v>
      </c>
      <c r="M121" s="290">
        <v>9.9</v>
      </c>
      <c r="N121" s="290">
        <v>5.4</v>
      </c>
      <c r="O121" s="290">
        <v>1.1000000000000001</v>
      </c>
      <c r="P121" s="290">
        <v>122000</v>
      </c>
      <c r="Q121" s="290">
        <f t="shared" si="3"/>
        <v>897274.20000000007</v>
      </c>
      <c r="R121" s="270"/>
      <c r="S121" s="270"/>
      <c r="T121" s="270">
        <v>13800</v>
      </c>
      <c r="U121" s="271" t="s">
        <v>101</v>
      </c>
      <c r="V121" s="280"/>
    </row>
    <row r="122" spans="1:22">
      <c r="A122" s="287">
        <v>2</v>
      </c>
      <c r="B122" s="288" t="s">
        <v>2</v>
      </c>
      <c r="C122" s="289">
        <v>4</v>
      </c>
      <c r="D122" s="359">
        <v>45264</v>
      </c>
      <c r="E122" s="290">
        <v>2460</v>
      </c>
      <c r="F122" s="290">
        <v>711000</v>
      </c>
      <c r="G122" s="290">
        <v>26800</v>
      </c>
      <c r="H122" s="290">
        <v>3.1</v>
      </c>
      <c r="I122" s="290">
        <v>50.9</v>
      </c>
      <c r="J122" s="290">
        <v>218</v>
      </c>
      <c r="K122" s="290">
        <v>2.8</v>
      </c>
      <c r="L122" s="290">
        <v>10.3</v>
      </c>
      <c r="M122" s="290">
        <v>9.8000000000000007</v>
      </c>
      <c r="N122" s="290">
        <v>5.4</v>
      </c>
      <c r="O122" s="290" t="s">
        <v>46</v>
      </c>
      <c r="P122" s="290">
        <v>126000</v>
      </c>
      <c r="Q122" s="290">
        <f t="shared" si="3"/>
        <v>866560.30000000016</v>
      </c>
      <c r="R122" s="270"/>
      <c r="S122" s="270"/>
      <c r="T122" s="270">
        <v>19500</v>
      </c>
      <c r="U122" s="271" t="s">
        <v>101</v>
      </c>
      <c r="V122" s="280"/>
    </row>
    <row r="123" spans="1:22">
      <c r="A123" s="287">
        <v>2</v>
      </c>
      <c r="B123" s="288" t="s">
        <v>2</v>
      </c>
      <c r="C123" s="289">
        <v>4</v>
      </c>
      <c r="D123" s="359">
        <v>45209</v>
      </c>
      <c r="E123" s="290">
        <v>2380</v>
      </c>
      <c r="F123" s="290">
        <v>940000</v>
      </c>
      <c r="G123" s="290">
        <v>30300</v>
      </c>
      <c r="H123" s="290" t="s">
        <v>46</v>
      </c>
      <c r="I123" s="290">
        <v>60.8</v>
      </c>
      <c r="J123" s="290">
        <v>105</v>
      </c>
      <c r="K123" s="290">
        <v>3.9</v>
      </c>
      <c r="L123" s="290">
        <v>14.7</v>
      </c>
      <c r="M123" s="290">
        <v>11.8</v>
      </c>
      <c r="N123" s="290">
        <v>4.2</v>
      </c>
      <c r="O123" s="290" t="s">
        <v>46</v>
      </c>
      <c r="P123" s="290">
        <v>167000</v>
      </c>
      <c r="Q123" s="290">
        <f t="shared" si="3"/>
        <v>1139880.3999999999</v>
      </c>
      <c r="R123" s="270"/>
      <c r="S123" s="270"/>
      <c r="T123" s="270">
        <v>11500</v>
      </c>
      <c r="U123" s="271" t="s">
        <v>101</v>
      </c>
      <c r="V123" s="280"/>
    </row>
    <row r="124" spans="1:22">
      <c r="A124" s="287">
        <v>2</v>
      </c>
      <c r="B124" s="288" t="s">
        <v>2</v>
      </c>
      <c r="C124" s="289">
        <v>4</v>
      </c>
      <c r="D124" s="359">
        <v>45181</v>
      </c>
      <c r="E124" s="290">
        <v>2830</v>
      </c>
      <c r="F124" s="290">
        <v>759000</v>
      </c>
      <c r="G124" s="290">
        <v>31900</v>
      </c>
      <c r="H124" s="290" t="s">
        <v>46</v>
      </c>
      <c r="I124" s="290">
        <v>62.8</v>
      </c>
      <c r="J124" s="290">
        <v>119</v>
      </c>
      <c r="K124" s="290">
        <v>3.5</v>
      </c>
      <c r="L124" s="290">
        <v>7.5</v>
      </c>
      <c r="M124" s="290">
        <v>8.1</v>
      </c>
      <c r="N124" s="290">
        <v>4.5999999999999996</v>
      </c>
      <c r="O124" s="290" t="s">
        <v>46</v>
      </c>
      <c r="P124" s="290">
        <v>136000</v>
      </c>
      <c r="Q124" s="290">
        <f t="shared" si="3"/>
        <v>929935.5</v>
      </c>
      <c r="R124" s="270"/>
      <c r="S124" s="270"/>
      <c r="T124" s="270">
        <v>21900</v>
      </c>
      <c r="U124" s="271" t="s">
        <v>101</v>
      </c>
      <c r="V124" s="280"/>
    </row>
    <row r="125" spans="1:22">
      <c r="A125" s="287">
        <v>2</v>
      </c>
      <c r="B125" s="288" t="s">
        <v>2</v>
      </c>
      <c r="C125" s="289">
        <v>4</v>
      </c>
      <c r="D125" s="359">
        <v>45160</v>
      </c>
      <c r="E125" s="290">
        <v>3550</v>
      </c>
      <c r="F125" s="290">
        <v>1290000</v>
      </c>
      <c r="G125" s="290">
        <v>38300</v>
      </c>
      <c r="H125" s="290" t="s">
        <v>46</v>
      </c>
      <c r="I125" s="290">
        <v>59.9</v>
      </c>
      <c r="J125" s="290">
        <v>254</v>
      </c>
      <c r="K125" s="290">
        <v>5.3</v>
      </c>
      <c r="L125" s="290">
        <v>11.5</v>
      </c>
      <c r="M125" s="290">
        <v>9.3000000000000007</v>
      </c>
      <c r="N125" s="290">
        <v>4</v>
      </c>
      <c r="O125" s="290" t="s">
        <v>46</v>
      </c>
      <c r="P125" s="290">
        <v>211000</v>
      </c>
      <c r="Q125" s="290">
        <f t="shared" si="3"/>
        <v>1543194</v>
      </c>
      <c r="R125" s="270"/>
      <c r="S125" s="270"/>
      <c r="T125" s="270">
        <v>11900</v>
      </c>
      <c r="U125" s="271" t="s">
        <v>101</v>
      </c>
      <c r="V125" s="280"/>
    </row>
    <row r="126" spans="1:22">
      <c r="A126" s="287">
        <v>2</v>
      </c>
      <c r="B126" s="288" t="s">
        <v>2</v>
      </c>
      <c r="C126" s="289">
        <v>4</v>
      </c>
      <c r="D126" s="359">
        <v>45118</v>
      </c>
      <c r="E126" s="290">
        <v>2120</v>
      </c>
      <c r="F126" s="290">
        <v>1070000</v>
      </c>
      <c r="G126" s="290">
        <v>30100</v>
      </c>
      <c r="H126" s="290">
        <v>8.1999999999999993</v>
      </c>
      <c r="I126" s="290">
        <v>61.9</v>
      </c>
      <c r="J126" s="290">
        <v>226</v>
      </c>
      <c r="K126" s="290">
        <v>5.3</v>
      </c>
      <c r="L126" s="290">
        <v>27.7</v>
      </c>
      <c r="M126" s="290">
        <v>12.8</v>
      </c>
      <c r="N126" s="290">
        <v>6.4</v>
      </c>
      <c r="O126" s="290" t="s">
        <v>46</v>
      </c>
      <c r="P126" s="290">
        <v>95800</v>
      </c>
      <c r="Q126" s="290">
        <f t="shared" si="3"/>
        <v>1198368.2999999998</v>
      </c>
      <c r="R126" s="270"/>
      <c r="S126" s="270"/>
      <c r="T126" s="270"/>
      <c r="U126" s="271" t="s">
        <v>101</v>
      </c>
      <c r="V126" s="280"/>
    </row>
    <row r="127" spans="1:22">
      <c r="A127" s="287">
        <v>2</v>
      </c>
      <c r="B127" s="288" t="s">
        <v>2</v>
      </c>
      <c r="C127" s="289">
        <v>4</v>
      </c>
      <c r="D127" s="359">
        <v>45097</v>
      </c>
      <c r="E127" s="290">
        <v>1320</v>
      </c>
      <c r="F127" s="290">
        <v>452000</v>
      </c>
      <c r="G127" s="290">
        <v>20700</v>
      </c>
      <c r="H127" s="290" t="s">
        <v>46</v>
      </c>
      <c r="I127" s="290">
        <v>45.5</v>
      </c>
      <c r="J127" s="290">
        <v>271</v>
      </c>
      <c r="K127" s="290">
        <v>3.9</v>
      </c>
      <c r="L127" s="290">
        <v>16.7</v>
      </c>
      <c r="M127" s="290">
        <v>8.5</v>
      </c>
      <c r="N127" s="290">
        <v>3.8</v>
      </c>
      <c r="O127" s="290">
        <v>3.4</v>
      </c>
      <c r="P127" s="290">
        <v>77000</v>
      </c>
      <c r="Q127" s="290">
        <f t="shared" si="3"/>
        <v>551372.80000000005</v>
      </c>
      <c r="R127" s="273"/>
      <c r="S127" s="273"/>
      <c r="T127" s="270">
        <v>17800</v>
      </c>
      <c r="U127" s="271" t="s">
        <v>101</v>
      </c>
      <c r="V127" s="280"/>
    </row>
    <row r="128" spans="1:22">
      <c r="A128" s="287">
        <v>2</v>
      </c>
      <c r="B128" s="288" t="s">
        <v>2</v>
      </c>
      <c r="C128" s="289">
        <v>4</v>
      </c>
      <c r="D128" s="359">
        <v>45062</v>
      </c>
      <c r="E128" s="290">
        <v>392</v>
      </c>
      <c r="F128" s="290">
        <v>273000</v>
      </c>
      <c r="G128" s="290">
        <v>14200</v>
      </c>
      <c r="H128" s="290" t="s">
        <v>46</v>
      </c>
      <c r="I128" s="290">
        <v>27.3</v>
      </c>
      <c r="J128" s="290">
        <v>58.5</v>
      </c>
      <c r="K128" s="290">
        <v>1.7</v>
      </c>
      <c r="L128" s="290">
        <v>4.0999999999999996</v>
      </c>
      <c r="M128" s="290">
        <v>5.0999999999999996</v>
      </c>
      <c r="N128" s="290" t="s">
        <v>46</v>
      </c>
      <c r="O128" s="290" t="s">
        <v>46</v>
      </c>
      <c r="P128" s="290">
        <v>154000</v>
      </c>
      <c r="Q128" s="290">
        <f t="shared" si="3"/>
        <v>441688.69999999995</v>
      </c>
      <c r="R128" s="273"/>
      <c r="S128" s="273"/>
      <c r="T128" s="270"/>
      <c r="U128" s="271"/>
      <c r="V128" s="280"/>
    </row>
    <row r="129" spans="1:22">
      <c r="A129" s="287">
        <v>2</v>
      </c>
      <c r="B129" s="288" t="s">
        <v>2</v>
      </c>
      <c r="C129" s="289">
        <v>4</v>
      </c>
      <c r="D129" s="359">
        <v>44796</v>
      </c>
      <c r="E129" s="290">
        <v>25.3</v>
      </c>
      <c r="F129" s="290">
        <v>7150</v>
      </c>
      <c r="G129" s="290">
        <v>11300</v>
      </c>
      <c r="H129" s="290">
        <v>4</v>
      </c>
      <c r="I129" s="290">
        <v>25.8</v>
      </c>
      <c r="J129" s="290">
        <v>17.3</v>
      </c>
      <c r="K129" s="290" t="s">
        <v>46</v>
      </c>
      <c r="L129" s="290">
        <v>26.3</v>
      </c>
      <c r="M129" s="290">
        <v>2.2000000000000002</v>
      </c>
      <c r="N129" s="290" t="s">
        <v>46</v>
      </c>
      <c r="O129" s="290">
        <v>18.3</v>
      </c>
      <c r="P129" s="290">
        <v>299000</v>
      </c>
      <c r="Q129" s="290">
        <f t="shared" si="3"/>
        <v>317569.2</v>
      </c>
      <c r="R129" s="270"/>
      <c r="S129" s="270"/>
      <c r="T129" s="270">
        <v>34500</v>
      </c>
      <c r="U129" s="271" t="s">
        <v>101</v>
      </c>
      <c r="V129" s="280"/>
    </row>
    <row r="130" spans="1:22">
      <c r="A130" s="287">
        <v>2</v>
      </c>
      <c r="B130" s="288" t="s">
        <v>2</v>
      </c>
      <c r="C130" s="289">
        <v>4</v>
      </c>
      <c r="D130" s="359">
        <v>44720</v>
      </c>
      <c r="E130" s="290">
        <v>2050</v>
      </c>
      <c r="F130" s="290">
        <v>439000</v>
      </c>
      <c r="G130" s="290">
        <v>36400</v>
      </c>
      <c r="H130" s="290">
        <v>7</v>
      </c>
      <c r="I130" s="290">
        <v>60.4</v>
      </c>
      <c r="J130" s="290">
        <v>45.4</v>
      </c>
      <c r="K130" s="290">
        <v>1.9</v>
      </c>
      <c r="L130" s="290">
        <v>13.3</v>
      </c>
      <c r="M130" s="290">
        <v>2.8</v>
      </c>
      <c r="N130" s="290" t="s">
        <v>46</v>
      </c>
      <c r="O130" s="290" t="s">
        <v>46</v>
      </c>
      <c r="P130" s="290">
        <v>491000</v>
      </c>
      <c r="Q130" s="290">
        <f t="shared" si="3"/>
        <v>968580.8</v>
      </c>
      <c r="R130" s="270"/>
      <c r="S130" s="270"/>
      <c r="T130" s="270">
        <v>17900</v>
      </c>
      <c r="U130" s="271" t="s">
        <v>101</v>
      </c>
      <c r="V130" s="280"/>
    </row>
    <row r="131" spans="1:22">
      <c r="A131" s="287">
        <v>2</v>
      </c>
      <c r="B131" s="288" t="s">
        <v>2</v>
      </c>
      <c r="C131" s="289">
        <v>4</v>
      </c>
      <c r="D131" s="359">
        <v>44704</v>
      </c>
      <c r="E131" s="290">
        <v>828</v>
      </c>
      <c r="F131" s="290">
        <v>332000</v>
      </c>
      <c r="G131" s="290">
        <v>14900</v>
      </c>
      <c r="H131" s="290">
        <v>5.9</v>
      </c>
      <c r="I131" s="290">
        <v>31.5</v>
      </c>
      <c r="J131" s="290">
        <v>34.1</v>
      </c>
      <c r="K131" s="290" t="s">
        <v>46</v>
      </c>
      <c r="L131" s="290">
        <v>4.5</v>
      </c>
      <c r="M131" s="290">
        <v>2.6</v>
      </c>
      <c r="N131" s="290" t="s">
        <v>46</v>
      </c>
      <c r="O131" s="290" t="s">
        <v>46</v>
      </c>
      <c r="P131" s="290">
        <v>313000</v>
      </c>
      <c r="Q131" s="290">
        <f t="shared" si="3"/>
        <v>660806.6</v>
      </c>
      <c r="R131" s="270">
        <v>1.2</v>
      </c>
      <c r="S131" s="270">
        <v>2630</v>
      </c>
      <c r="T131" s="270">
        <v>21400</v>
      </c>
      <c r="U131" s="271" t="s">
        <v>101</v>
      </c>
      <c r="V131" s="280"/>
    </row>
    <row r="132" spans="1:22">
      <c r="A132" s="287">
        <v>2</v>
      </c>
      <c r="B132" s="288" t="s">
        <v>2</v>
      </c>
      <c r="C132" s="289">
        <v>4</v>
      </c>
      <c r="D132" s="359">
        <v>44676</v>
      </c>
      <c r="E132" s="290">
        <v>1200</v>
      </c>
      <c r="F132" s="290">
        <v>247000</v>
      </c>
      <c r="G132" s="290">
        <v>24500</v>
      </c>
      <c r="H132" s="290">
        <v>8</v>
      </c>
      <c r="I132" s="290">
        <v>57.2</v>
      </c>
      <c r="J132" s="290">
        <v>12.9</v>
      </c>
      <c r="K132" s="290" t="s">
        <v>46</v>
      </c>
      <c r="L132" s="290">
        <v>39.4</v>
      </c>
      <c r="M132" s="290">
        <v>2.2999999999999998</v>
      </c>
      <c r="N132" s="290" t="s">
        <v>46</v>
      </c>
      <c r="O132" s="290" t="s">
        <v>46</v>
      </c>
      <c r="P132" s="290">
        <v>415000</v>
      </c>
      <c r="Q132" s="290">
        <f t="shared" si="3"/>
        <v>687819.8</v>
      </c>
      <c r="R132" s="270"/>
      <c r="S132" s="270"/>
      <c r="T132" s="270"/>
      <c r="U132" s="271"/>
      <c r="V132" s="280"/>
    </row>
    <row r="133" spans="1:22">
      <c r="A133" s="287">
        <v>2</v>
      </c>
      <c r="B133" s="288" t="s">
        <v>2</v>
      </c>
      <c r="C133" s="289">
        <v>4</v>
      </c>
      <c r="D133" s="359">
        <v>44641</v>
      </c>
      <c r="E133" s="290">
        <v>821</v>
      </c>
      <c r="F133" s="290">
        <v>267000</v>
      </c>
      <c r="G133" s="290">
        <v>17800</v>
      </c>
      <c r="H133" s="290">
        <v>4.4000000000000004</v>
      </c>
      <c r="I133" s="290">
        <v>27.2</v>
      </c>
      <c r="J133" s="290">
        <v>23.6</v>
      </c>
      <c r="K133" s="290" t="s">
        <v>46</v>
      </c>
      <c r="L133" s="290">
        <v>6.2</v>
      </c>
      <c r="M133" s="290">
        <v>6.1</v>
      </c>
      <c r="N133" s="290" t="s">
        <v>46</v>
      </c>
      <c r="O133" s="290" t="s">
        <v>46</v>
      </c>
      <c r="P133" s="290">
        <v>212000</v>
      </c>
      <c r="Q133" s="290">
        <f t="shared" si="3"/>
        <v>497688.5</v>
      </c>
      <c r="R133" s="270"/>
      <c r="S133" s="270"/>
      <c r="T133" s="270">
        <v>16900</v>
      </c>
      <c r="U133" s="271" t="s">
        <v>101</v>
      </c>
      <c r="V133" s="280"/>
    </row>
    <row r="134" spans="1:22">
      <c r="A134" s="287">
        <v>2</v>
      </c>
      <c r="B134" s="288" t="s">
        <v>2</v>
      </c>
      <c r="C134" s="289">
        <v>4</v>
      </c>
      <c r="D134" s="359">
        <v>44280</v>
      </c>
      <c r="E134" s="290">
        <v>1540</v>
      </c>
      <c r="F134" s="290">
        <v>579000</v>
      </c>
      <c r="G134" s="290">
        <v>25200</v>
      </c>
      <c r="H134" s="290">
        <v>25.4</v>
      </c>
      <c r="I134" s="290">
        <v>52.9</v>
      </c>
      <c r="J134" s="290">
        <v>658</v>
      </c>
      <c r="K134" s="290">
        <v>7.4</v>
      </c>
      <c r="L134" s="290">
        <v>213</v>
      </c>
      <c r="M134" s="290">
        <v>68.099999999999994</v>
      </c>
      <c r="N134" s="290">
        <v>2.8</v>
      </c>
      <c r="O134" s="290">
        <v>18</v>
      </c>
      <c r="P134" s="290">
        <v>39500</v>
      </c>
      <c r="Q134" s="290">
        <f t="shared" si="3"/>
        <v>646285.60000000009</v>
      </c>
      <c r="R134" s="270"/>
      <c r="S134" s="270"/>
      <c r="T134" s="270">
        <v>1340</v>
      </c>
      <c r="U134" s="271"/>
      <c r="V134" s="280"/>
    </row>
    <row r="135" spans="1:22">
      <c r="A135" s="287">
        <v>2</v>
      </c>
      <c r="B135" s="288" t="s">
        <v>2</v>
      </c>
      <c r="C135" s="289">
        <v>4</v>
      </c>
      <c r="D135" s="359">
        <v>44249</v>
      </c>
      <c r="E135" s="290">
        <v>1180</v>
      </c>
      <c r="F135" s="290">
        <v>799000</v>
      </c>
      <c r="G135" s="290">
        <v>32700</v>
      </c>
      <c r="H135" s="290">
        <v>24.7</v>
      </c>
      <c r="I135" s="290">
        <v>54.7</v>
      </c>
      <c r="J135" s="290">
        <v>819</v>
      </c>
      <c r="K135" s="290">
        <v>8.9</v>
      </c>
      <c r="L135" s="290">
        <v>297</v>
      </c>
      <c r="M135" s="290">
        <v>30.2</v>
      </c>
      <c r="N135" s="290">
        <v>2.7</v>
      </c>
      <c r="O135" s="290">
        <v>14.2</v>
      </c>
      <c r="P135" s="290">
        <v>60900</v>
      </c>
      <c r="Q135" s="290">
        <f t="shared" si="3"/>
        <v>895031.39999999979</v>
      </c>
      <c r="R135" s="270"/>
      <c r="S135" s="270"/>
      <c r="T135" s="270">
        <v>970</v>
      </c>
      <c r="U135" s="271"/>
      <c r="V135" s="280"/>
    </row>
    <row r="136" spans="1:22">
      <c r="A136" s="287">
        <v>2</v>
      </c>
      <c r="B136" s="288" t="s">
        <v>2</v>
      </c>
      <c r="C136" s="289">
        <v>4</v>
      </c>
      <c r="D136" s="359">
        <v>44217</v>
      </c>
      <c r="E136" s="290">
        <v>1190</v>
      </c>
      <c r="F136" s="290">
        <v>572000</v>
      </c>
      <c r="G136" s="290">
        <v>29700</v>
      </c>
      <c r="H136" s="290">
        <v>28.1</v>
      </c>
      <c r="I136" s="290">
        <v>68</v>
      </c>
      <c r="J136" s="290">
        <v>877</v>
      </c>
      <c r="K136" s="290">
        <v>14.7</v>
      </c>
      <c r="L136" s="290">
        <v>104</v>
      </c>
      <c r="M136" s="290">
        <v>35.700000000000003</v>
      </c>
      <c r="N136" s="290">
        <v>2.6</v>
      </c>
      <c r="O136" s="290" t="s">
        <v>46</v>
      </c>
      <c r="P136" s="290">
        <v>33600</v>
      </c>
      <c r="Q136" s="290">
        <f t="shared" si="3"/>
        <v>637620.09999999986</v>
      </c>
      <c r="R136" s="270"/>
      <c r="S136" s="270"/>
      <c r="T136" s="270">
        <v>570</v>
      </c>
      <c r="U136" s="271"/>
      <c r="V136" s="280"/>
    </row>
    <row r="137" spans="1:22">
      <c r="A137" s="287">
        <v>2</v>
      </c>
      <c r="B137" s="288" t="s">
        <v>2</v>
      </c>
      <c r="C137" s="289">
        <v>4</v>
      </c>
      <c r="D137" s="359">
        <v>44186</v>
      </c>
      <c r="E137" s="290">
        <v>1230</v>
      </c>
      <c r="F137" s="290">
        <v>7510</v>
      </c>
      <c r="G137" s="290">
        <v>30100</v>
      </c>
      <c r="H137" s="290">
        <v>26.3</v>
      </c>
      <c r="I137" s="290">
        <v>53.3</v>
      </c>
      <c r="J137" s="290">
        <v>763</v>
      </c>
      <c r="K137" s="290">
        <v>10.1</v>
      </c>
      <c r="L137" s="290">
        <v>164</v>
      </c>
      <c r="M137" s="290">
        <v>59.7</v>
      </c>
      <c r="N137" s="290">
        <v>3</v>
      </c>
      <c r="O137" s="290">
        <v>6.3</v>
      </c>
      <c r="P137" s="290">
        <v>45400</v>
      </c>
      <c r="Q137" s="290">
        <f t="shared" si="3"/>
        <v>85325.700000000012</v>
      </c>
      <c r="R137" s="270"/>
      <c r="S137" s="270"/>
      <c r="T137" s="270"/>
      <c r="U137" s="271"/>
      <c r="V137" s="280"/>
    </row>
    <row r="138" spans="1:22">
      <c r="A138" s="287">
        <v>2</v>
      </c>
      <c r="B138" s="288" t="s">
        <v>2</v>
      </c>
      <c r="C138" s="289">
        <v>4</v>
      </c>
      <c r="D138" s="359">
        <v>44174</v>
      </c>
      <c r="E138" s="290">
        <v>1210</v>
      </c>
      <c r="F138" s="290">
        <v>677000</v>
      </c>
      <c r="G138" s="290">
        <v>27700</v>
      </c>
      <c r="H138" s="290">
        <v>23.8</v>
      </c>
      <c r="I138" s="290">
        <v>52.6</v>
      </c>
      <c r="J138" s="290">
        <v>535</v>
      </c>
      <c r="K138" s="290">
        <v>7.8</v>
      </c>
      <c r="L138" s="290">
        <v>203</v>
      </c>
      <c r="M138" s="290">
        <v>65.3</v>
      </c>
      <c r="N138" s="290">
        <v>2.2999999999999998</v>
      </c>
      <c r="O138" s="290">
        <v>6.3</v>
      </c>
      <c r="P138" s="290">
        <v>68400</v>
      </c>
      <c r="Q138" s="290">
        <f t="shared" si="3"/>
        <v>775206.10000000021</v>
      </c>
      <c r="R138" s="270"/>
      <c r="S138" s="270"/>
      <c r="T138" s="270"/>
      <c r="U138" s="271"/>
      <c r="V138" s="280"/>
    </row>
    <row r="139" spans="1:22">
      <c r="A139" s="287">
        <v>2</v>
      </c>
      <c r="B139" s="288" t="s">
        <v>2</v>
      </c>
      <c r="C139" s="289">
        <v>4</v>
      </c>
      <c r="D139" s="359">
        <v>44160</v>
      </c>
      <c r="E139" s="290">
        <v>805</v>
      </c>
      <c r="F139" s="290">
        <v>409000</v>
      </c>
      <c r="G139" s="290">
        <v>13400</v>
      </c>
      <c r="H139" s="290">
        <v>20.3</v>
      </c>
      <c r="I139" s="290">
        <v>39.799999999999997</v>
      </c>
      <c r="J139" s="290">
        <v>353</v>
      </c>
      <c r="K139" s="290">
        <v>2.6</v>
      </c>
      <c r="L139" s="290">
        <v>235</v>
      </c>
      <c r="M139" s="290">
        <v>64.900000000000006</v>
      </c>
      <c r="N139" s="290">
        <v>1.7</v>
      </c>
      <c r="O139" s="290">
        <v>11.6</v>
      </c>
      <c r="P139" s="290">
        <v>25100</v>
      </c>
      <c r="Q139" s="290">
        <f t="shared" si="3"/>
        <v>449033.89999999997</v>
      </c>
      <c r="R139" s="270"/>
      <c r="S139" s="270"/>
      <c r="T139" s="270"/>
      <c r="U139" s="271"/>
      <c r="V139" s="280"/>
    </row>
    <row r="140" spans="1:22">
      <c r="A140" s="135">
        <v>2</v>
      </c>
      <c r="B140" s="12" t="s">
        <v>2</v>
      </c>
      <c r="C140" s="99">
        <v>4</v>
      </c>
      <c r="D140" s="14">
        <v>43725</v>
      </c>
      <c r="E140" s="273">
        <v>83.4</v>
      </c>
      <c r="F140" s="273">
        <v>98000</v>
      </c>
      <c r="G140" s="273">
        <v>6490</v>
      </c>
      <c r="H140" s="273">
        <v>11.4</v>
      </c>
      <c r="I140" s="273">
        <v>13.1</v>
      </c>
      <c r="J140" s="273">
        <v>238</v>
      </c>
      <c r="K140" s="273">
        <v>2.5</v>
      </c>
      <c r="L140" s="273">
        <v>96.1</v>
      </c>
      <c r="M140" s="273">
        <v>73.599999999999994</v>
      </c>
      <c r="N140" s="273" t="s">
        <v>46</v>
      </c>
      <c r="O140" s="273">
        <v>23.9</v>
      </c>
      <c r="P140" s="273">
        <v>15200</v>
      </c>
      <c r="Q140" s="273">
        <f t="shared" si="3"/>
        <v>120232</v>
      </c>
      <c r="R140" s="270"/>
      <c r="S140" s="270"/>
      <c r="T140" s="270"/>
      <c r="U140" s="271"/>
      <c r="V140" s="280"/>
    </row>
    <row r="141" spans="1:22">
      <c r="A141" s="135">
        <v>2</v>
      </c>
      <c r="B141" s="12" t="s">
        <v>2</v>
      </c>
      <c r="C141" s="99">
        <v>4</v>
      </c>
      <c r="D141" s="14">
        <v>43629</v>
      </c>
      <c r="E141" s="273">
        <v>392</v>
      </c>
      <c r="F141" s="273">
        <v>295000</v>
      </c>
      <c r="G141" s="273">
        <v>10900</v>
      </c>
      <c r="H141" s="273">
        <v>10.6</v>
      </c>
      <c r="I141" s="273">
        <v>30</v>
      </c>
      <c r="J141" s="273">
        <v>313</v>
      </c>
      <c r="K141" s="273">
        <v>6.2</v>
      </c>
      <c r="L141" s="273">
        <v>2680</v>
      </c>
      <c r="M141" s="273">
        <v>237</v>
      </c>
      <c r="N141" s="273">
        <v>3.3</v>
      </c>
      <c r="O141" s="273">
        <v>155</v>
      </c>
      <c r="P141" s="273">
        <v>28500</v>
      </c>
      <c r="Q141" s="273">
        <f t="shared" si="3"/>
        <v>338227.1</v>
      </c>
      <c r="R141" s="270"/>
      <c r="S141" s="270"/>
      <c r="T141" s="270"/>
      <c r="U141" s="271"/>
      <c r="V141" s="280"/>
    </row>
    <row r="142" spans="1:22">
      <c r="A142" s="135">
        <v>2</v>
      </c>
      <c r="B142" s="12" t="s">
        <v>2</v>
      </c>
      <c r="C142" s="99">
        <v>4</v>
      </c>
      <c r="D142" s="14">
        <v>43545</v>
      </c>
      <c r="E142" s="273">
        <v>560</v>
      </c>
      <c r="F142" s="273">
        <v>458000</v>
      </c>
      <c r="G142" s="273">
        <v>15200</v>
      </c>
      <c r="H142" s="273">
        <v>16.100000000000001</v>
      </c>
      <c r="I142" s="273">
        <v>35.5</v>
      </c>
      <c r="J142" s="273">
        <v>441</v>
      </c>
      <c r="K142" s="273">
        <v>8.4</v>
      </c>
      <c r="L142" s="273">
        <v>4910</v>
      </c>
      <c r="M142" s="273">
        <v>410</v>
      </c>
      <c r="N142" s="273">
        <v>3.4</v>
      </c>
      <c r="O142" s="273">
        <v>234</v>
      </c>
      <c r="P142" s="273">
        <v>17000</v>
      </c>
      <c r="Q142" s="273">
        <f t="shared" si="3"/>
        <v>496818.4</v>
      </c>
      <c r="R142" s="270"/>
      <c r="S142" s="270"/>
      <c r="T142" s="270"/>
      <c r="U142" s="271"/>
      <c r="V142" s="280"/>
    </row>
    <row r="143" spans="1:22">
      <c r="A143" s="135">
        <v>2</v>
      </c>
      <c r="B143" s="12" t="s">
        <v>2</v>
      </c>
      <c r="C143" s="99">
        <v>4</v>
      </c>
      <c r="D143" s="14">
        <v>43452</v>
      </c>
      <c r="E143" s="273">
        <v>144</v>
      </c>
      <c r="F143" s="273">
        <v>181000</v>
      </c>
      <c r="G143" s="273">
        <v>4700</v>
      </c>
      <c r="H143" s="273">
        <v>15.4</v>
      </c>
      <c r="I143" s="273">
        <v>17.100000000000001</v>
      </c>
      <c r="J143" s="273">
        <v>377</v>
      </c>
      <c r="K143" s="273">
        <v>3.1</v>
      </c>
      <c r="L143" s="273">
        <v>573</v>
      </c>
      <c r="M143" s="273">
        <v>124</v>
      </c>
      <c r="N143" s="270" t="s">
        <v>46</v>
      </c>
      <c r="O143" s="273">
        <v>159</v>
      </c>
      <c r="P143" s="273">
        <v>4850</v>
      </c>
      <c r="Q143" s="273">
        <f t="shared" si="3"/>
        <v>191962.6</v>
      </c>
      <c r="R143" s="270"/>
      <c r="S143" s="270"/>
      <c r="T143" s="270"/>
      <c r="U143" s="271"/>
      <c r="V143" s="280"/>
    </row>
    <row r="144" spans="1:22">
      <c r="A144" s="135">
        <v>2</v>
      </c>
      <c r="B144" s="12" t="s">
        <v>2</v>
      </c>
      <c r="C144" s="99">
        <v>4</v>
      </c>
      <c r="D144" s="14">
        <v>43363</v>
      </c>
      <c r="E144" s="273">
        <v>301</v>
      </c>
      <c r="F144" s="273">
        <v>353000</v>
      </c>
      <c r="G144" s="273">
        <v>4050</v>
      </c>
      <c r="H144" s="273">
        <v>19.2</v>
      </c>
      <c r="I144" s="273">
        <v>29.6</v>
      </c>
      <c r="J144" s="273">
        <v>476</v>
      </c>
      <c r="K144" s="273">
        <v>3.5</v>
      </c>
      <c r="L144" s="273">
        <v>959</v>
      </c>
      <c r="M144" s="273">
        <v>164</v>
      </c>
      <c r="N144" s="273">
        <v>1.6</v>
      </c>
      <c r="O144" s="273">
        <v>58.3</v>
      </c>
      <c r="P144" s="273">
        <v>34000</v>
      </c>
      <c r="Q144" s="273">
        <f t="shared" si="3"/>
        <v>393062.19999999995</v>
      </c>
      <c r="R144" s="270"/>
      <c r="S144" s="270"/>
      <c r="T144" s="270"/>
      <c r="U144" s="271"/>
      <c r="V144" s="280"/>
    </row>
    <row r="145" spans="1:22">
      <c r="A145" s="135">
        <v>2</v>
      </c>
      <c r="B145" s="12" t="s">
        <v>2</v>
      </c>
      <c r="C145" s="99">
        <v>4</v>
      </c>
      <c r="D145" s="14">
        <v>43333</v>
      </c>
      <c r="E145" s="273">
        <v>210</v>
      </c>
      <c r="F145" s="273">
        <v>336000</v>
      </c>
      <c r="G145" s="273">
        <v>7470</v>
      </c>
      <c r="H145" s="273">
        <v>12.2</v>
      </c>
      <c r="I145" s="273">
        <v>19.8</v>
      </c>
      <c r="J145" s="273">
        <v>307</v>
      </c>
      <c r="K145" s="273">
        <v>2.7</v>
      </c>
      <c r="L145" s="273">
        <v>984</v>
      </c>
      <c r="M145" s="273">
        <v>138</v>
      </c>
      <c r="N145" s="273">
        <v>1.7</v>
      </c>
      <c r="O145" s="273">
        <v>57.3</v>
      </c>
      <c r="P145" s="273">
        <v>49500</v>
      </c>
      <c r="Q145" s="273">
        <f t="shared" si="3"/>
        <v>394702.7</v>
      </c>
      <c r="R145" s="270"/>
      <c r="S145" s="270"/>
      <c r="T145" s="270"/>
      <c r="U145" s="271"/>
      <c r="V145" s="280"/>
    </row>
    <row r="146" spans="1:22">
      <c r="A146" s="135">
        <v>2</v>
      </c>
      <c r="B146" s="12" t="s">
        <v>2</v>
      </c>
      <c r="C146" s="99">
        <v>4</v>
      </c>
      <c r="D146" s="14">
        <v>43264</v>
      </c>
      <c r="E146" s="273">
        <v>8.1</v>
      </c>
      <c r="F146" s="273">
        <v>11400</v>
      </c>
      <c r="G146" s="273">
        <v>200</v>
      </c>
      <c r="H146" s="270" t="s">
        <v>46</v>
      </c>
      <c r="I146" s="270" t="s">
        <v>36</v>
      </c>
      <c r="J146" s="273">
        <v>49.4</v>
      </c>
      <c r="K146" s="270" t="s">
        <v>46</v>
      </c>
      <c r="L146" s="273">
        <v>45.3</v>
      </c>
      <c r="M146" s="273">
        <v>39.4</v>
      </c>
      <c r="N146" s="270" t="s">
        <v>46</v>
      </c>
      <c r="O146" s="273">
        <v>78.2</v>
      </c>
      <c r="P146" s="273">
        <v>251</v>
      </c>
      <c r="Q146" s="273">
        <f t="shared" si="3"/>
        <v>12071.4</v>
      </c>
      <c r="R146" s="270"/>
      <c r="S146" s="270"/>
      <c r="T146" s="270"/>
      <c r="U146" s="271"/>
      <c r="V146" s="280"/>
    </row>
    <row r="147" spans="1:22">
      <c r="A147" s="135">
        <v>2</v>
      </c>
      <c r="B147" s="12" t="s">
        <v>2</v>
      </c>
      <c r="C147" s="99">
        <v>4</v>
      </c>
      <c r="D147" s="14">
        <v>43182</v>
      </c>
      <c r="E147" s="273">
        <v>1800</v>
      </c>
      <c r="F147" s="273">
        <v>890000</v>
      </c>
      <c r="G147" s="273">
        <v>27900</v>
      </c>
      <c r="H147" s="273">
        <v>27.5</v>
      </c>
      <c r="I147" s="273">
        <v>54.8</v>
      </c>
      <c r="J147" s="273">
        <v>663</v>
      </c>
      <c r="K147" s="273">
        <v>15.1</v>
      </c>
      <c r="L147" s="273">
        <v>215</v>
      </c>
      <c r="M147" s="273">
        <v>190</v>
      </c>
      <c r="N147" s="270" t="s">
        <v>46</v>
      </c>
      <c r="O147" s="273">
        <v>99.8</v>
      </c>
      <c r="P147" s="273">
        <v>50700</v>
      </c>
      <c r="Q147" s="273">
        <f t="shared" si="3"/>
        <v>971665.20000000007</v>
      </c>
      <c r="R147" s="270"/>
      <c r="S147" s="270"/>
      <c r="T147" s="270"/>
      <c r="U147" s="271"/>
      <c r="V147" s="280"/>
    </row>
    <row r="148" spans="1:22">
      <c r="A148" s="135">
        <v>2</v>
      </c>
      <c r="B148" s="12" t="s">
        <v>2</v>
      </c>
      <c r="C148" s="99">
        <v>4</v>
      </c>
      <c r="D148" s="14">
        <v>43180</v>
      </c>
      <c r="E148" s="273">
        <v>1800</v>
      </c>
      <c r="F148" s="273">
        <v>890000</v>
      </c>
      <c r="G148" s="273">
        <v>27900</v>
      </c>
      <c r="H148" s="273">
        <v>27.5</v>
      </c>
      <c r="I148" s="273">
        <v>54.8</v>
      </c>
      <c r="J148" s="273">
        <v>663</v>
      </c>
      <c r="K148" s="273">
        <v>15.1</v>
      </c>
      <c r="L148" s="273">
        <v>215</v>
      </c>
      <c r="M148" s="273">
        <v>190</v>
      </c>
      <c r="N148" s="270" t="s">
        <v>46</v>
      </c>
      <c r="O148" s="273">
        <v>99.8</v>
      </c>
      <c r="P148" s="273">
        <v>50700</v>
      </c>
      <c r="Q148" s="273">
        <f t="shared" si="3"/>
        <v>971665.20000000007</v>
      </c>
      <c r="R148" s="270"/>
      <c r="S148" s="270"/>
      <c r="T148" s="270"/>
      <c r="U148" s="271"/>
      <c r="V148" s="280"/>
    </row>
    <row r="149" spans="1:22">
      <c r="A149" s="135">
        <v>2</v>
      </c>
      <c r="B149" s="12" t="s">
        <v>2</v>
      </c>
      <c r="C149" s="99">
        <v>4</v>
      </c>
      <c r="D149" s="14">
        <v>43076</v>
      </c>
      <c r="E149" s="273">
        <v>1830</v>
      </c>
      <c r="F149" s="273">
        <v>1060000</v>
      </c>
      <c r="G149" s="273">
        <v>28100</v>
      </c>
      <c r="H149" s="273">
        <v>55.3</v>
      </c>
      <c r="I149" s="273">
        <v>68.5</v>
      </c>
      <c r="J149" s="273">
        <v>1600</v>
      </c>
      <c r="K149" s="273">
        <v>13.7</v>
      </c>
      <c r="L149" s="273">
        <v>1860</v>
      </c>
      <c r="M149" s="273">
        <v>177</v>
      </c>
      <c r="N149" s="273">
        <v>4.8</v>
      </c>
      <c r="O149" s="273">
        <v>88.8</v>
      </c>
      <c r="P149" s="273">
        <v>71800</v>
      </c>
      <c r="Q149" s="273">
        <f t="shared" si="3"/>
        <v>1165598.1000000001</v>
      </c>
      <c r="R149" s="270"/>
      <c r="S149" s="270"/>
      <c r="T149" s="270"/>
      <c r="U149" s="271"/>
      <c r="V149" s="280"/>
    </row>
    <row r="150" spans="1:22">
      <c r="A150" s="135">
        <v>2</v>
      </c>
      <c r="B150" s="12" t="s">
        <v>2</v>
      </c>
      <c r="C150" s="99">
        <v>4</v>
      </c>
      <c r="D150" s="14">
        <v>43075</v>
      </c>
      <c r="E150" s="273">
        <v>2140</v>
      </c>
      <c r="F150" s="273">
        <v>1120000</v>
      </c>
      <c r="G150" s="273">
        <v>32000</v>
      </c>
      <c r="H150" s="273">
        <v>53.8</v>
      </c>
      <c r="I150" s="273">
        <v>70.900000000000006</v>
      </c>
      <c r="J150" s="273">
        <v>740</v>
      </c>
      <c r="K150" s="273">
        <v>13.4</v>
      </c>
      <c r="L150" s="273">
        <v>1880</v>
      </c>
      <c r="M150" s="273">
        <v>173</v>
      </c>
      <c r="N150" s="273">
        <v>5.7</v>
      </c>
      <c r="O150" s="273">
        <v>79.900000000000006</v>
      </c>
      <c r="P150" s="273">
        <v>88700</v>
      </c>
      <c r="Q150" s="273">
        <f t="shared" si="3"/>
        <v>1245856.6999999997</v>
      </c>
      <c r="R150" s="270"/>
      <c r="S150" s="270"/>
      <c r="T150" s="270"/>
      <c r="U150" s="271"/>
      <c r="V150" s="280"/>
    </row>
    <row r="151" spans="1:22">
      <c r="A151" s="135">
        <v>2</v>
      </c>
      <c r="B151" s="12" t="s">
        <v>2</v>
      </c>
      <c r="C151" s="99">
        <v>4</v>
      </c>
      <c r="D151" s="14">
        <v>43039</v>
      </c>
      <c r="E151" s="273">
        <v>1750</v>
      </c>
      <c r="F151" s="273">
        <v>907000</v>
      </c>
      <c r="G151" s="273">
        <v>28700</v>
      </c>
      <c r="H151" s="273">
        <v>51.4</v>
      </c>
      <c r="I151" s="273">
        <v>67.7</v>
      </c>
      <c r="J151" s="273">
        <v>628</v>
      </c>
      <c r="K151" s="273">
        <v>9.9</v>
      </c>
      <c r="L151" s="273">
        <v>1650</v>
      </c>
      <c r="M151" s="273">
        <v>148</v>
      </c>
      <c r="N151" s="273">
        <v>6.7</v>
      </c>
      <c r="O151" s="273">
        <v>63.9</v>
      </c>
      <c r="P151" s="273">
        <v>77300</v>
      </c>
      <c r="Q151" s="273">
        <f t="shared" si="3"/>
        <v>1017375.6</v>
      </c>
      <c r="R151" s="270"/>
      <c r="S151" s="270"/>
      <c r="T151" s="270"/>
      <c r="U151" s="271"/>
      <c r="V151" s="280"/>
    </row>
    <row r="152" spans="1:22">
      <c r="A152" s="135">
        <v>2</v>
      </c>
      <c r="B152" s="12" t="s">
        <v>2</v>
      </c>
      <c r="C152" s="99">
        <v>4</v>
      </c>
      <c r="D152" s="14">
        <v>42951</v>
      </c>
      <c r="E152" s="273">
        <v>1100</v>
      </c>
      <c r="F152" s="273">
        <v>746000</v>
      </c>
      <c r="G152" s="273">
        <v>20000</v>
      </c>
      <c r="H152" s="273">
        <v>41.5</v>
      </c>
      <c r="I152" s="273">
        <v>52.2</v>
      </c>
      <c r="J152" s="273">
        <v>471</v>
      </c>
      <c r="K152" s="273">
        <v>7.1</v>
      </c>
      <c r="L152" s="273">
        <v>1260</v>
      </c>
      <c r="M152" s="273">
        <v>124</v>
      </c>
      <c r="N152" s="273">
        <v>4.5</v>
      </c>
      <c r="O152" s="273">
        <v>42.4</v>
      </c>
      <c r="P152" s="273">
        <v>44900</v>
      </c>
      <c r="Q152" s="273">
        <f t="shared" si="3"/>
        <v>814002.7</v>
      </c>
      <c r="R152" s="270"/>
      <c r="S152" s="270"/>
      <c r="T152" s="270"/>
      <c r="U152" s="271"/>
      <c r="V152" s="280"/>
    </row>
    <row r="153" spans="1:22">
      <c r="A153" s="135">
        <v>2</v>
      </c>
      <c r="B153" s="12" t="s">
        <v>2</v>
      </c>
      <c r="C153" s="99">
        <v>4</v>
      </c>
      <c r="D153" s="14">
        <v>42894</v>
      </c>
      <c r="E153" s="273">
        <v>1510</v>
      </c>
      <c r="F153" s="273">
        <v>690000</v>
      </c>
      <c r="G153" s="273">
        <v>25100</v>
      </c>
      <c r="H153" s="273">
        <v>13.2</v>
      </c>
      <c r="I153" s="273">
        <v>61.9</v>
      </c>
      <c r="J153" s="273">
        <v>534</v>
      </c>
      <c r="K153" s="273">
        <v>5.2</v>
      </c>
      <c r="L153" s="273">
        <v>2230</v>
      </c>
      <c r="M153" s="273">
        <v>75.400000000000006</v>
      </c>
      <c r="N153" s="273">
        <v>5.5</v>
      </c>
      <c r="O153" s="273">
        <v>711</v>
      </c>
      <c r="P153" s="273">
        <v>72800</v>
      </c>
      <c r="Q153" s="273">
        <f t="shared" si="3"/>
        <v>793046.2</v>
      </c>
      <c r="R153" s="270"/>
      <c r="S153" s="270"/>
      <c r="T153" s="270"/>
      <c r="U153" s="271"/>
      <c r="V153" s="280"/>
    </row>
    <row r="154" spans="1:22">
      <c r="A154" s="135">
        <v>2</v>
      </c>
      <c r="B154" s="12" t="s">
        <v>2</v>
      </c>
      <c r="C154" s="99">
        <v>4</v>
      </c>
      <c r="D154" s="14">
        <v>42808</v>
      </c>
      <c r="E154" s="273">
        <v>1720</v>
      </c>
      <c r="F154" s="273">
        <v>1060000</v>
      </c>
      <c r="G154" s="273">
        <v>27100</v>
      </c>
      <c r="H154" s="273">
        <v>56.7</v>
      </c>
      <c r="I154" s="273">
        <v>78.599999999999994</v>
      </c>
      <c r="J154" s="273">
        <v>508</v>
      </c>
      <c r="K154" s="273">
        <v>3.9</v>
      </c>
      <c r="L154" s="273">
        <v>300</v>
      </c>
      <c r="M154" s="273">
        <v>42.4</v>
      </c>
      <c r="N154" s="273">
        <v>2.2999999999999998</v>
      </c>
      <c r="O154" s="273">
        <v>4.4000000000000004</v>
      </c>
      <c r="P154" s="273">
        <v>105000</v>
      </c>
      <c r="Q154" s="273">
        <f t="shared" si="3"/>
        <v>1194816.2999999998</v>
      </c>
      <c r="R154" s="270"/>
      <c r="S154" s="270"/>
      <c r="T154" s="270"/>
      <c r="U154" s="271"/>
      <c r="V154" s="280"/>
    </row>
    <row r="155" spans="1:22">
      <c r="A155" s="135">
        <v>2</v>
      </c>
      <c r="B155" s="12" t="s">
        <v>2</v>
      </c>
      <c r="C155" s="99">
        <v>4</v>
      </c>
      <c r="D155" s="14">
        <v>42619</v>
      </c>
      <c r="E155" s="273">
        <v>2440</v>
      </c>
      <c r="F155" s="273">
        <v>1270000</v>
      </c>
      <c r="G155" s="273">
        <v>41800</v>
      </c>
      <c r="H155" s="273">
        <v>71.7</v>
      </c>
      <c r="I155" s="273">
        <v>97.8</v>
      </c>
      <c r="J155" s="273">
        <v>782</v>
      </c>
      <c r="K155" s="273">
        <v>15</v>
      </c>
      <c r="L155" s="273">
        <v>3740</v>
      </c>
      <c r="M155" s="273">
        <v>64.5</v>
      </c>
      <c r="N155" s="273">
        <v>5.2</v>
      </c>
      <c r="O155" s="273">
        <v>10.1</v>
      </c>
      <c r="P155" s="273">
        <v>165000</v>
      </c>
      <c r="Q155" s="273">
        <f t="shared" si="3"/>
        <v>1484026.3</v>
      </c>
      <c r="R155" s="270"/>
      <c r="S155" s="270"/>
      <c r="T155" s="270"/>
      <c r="U155" s="271"/>
      <c r="V155" s="280"/>
    </row>
    <row r="156" spans="1:22">
      <c r="A156" s="301">
        <v>2</v>
      </c>
      <c r="B156" s="302" t="s">
        <v>2</v>
      </c>
      <c r="C156" s="303">
        <v>4</v>
      </c>
      <c r="D156" s="361">
        <v>42579</v>
      </c>
      <c r="E156" s="304">
        <v>3830</v>
      </c>
      <c r="F156" s="304">
        <v>1770000</v>
      </c>
      <c r="G156" s="304">
        <v>49200</v>
      </c>
      <c r="H156" s="304">
        <v>70.099999999999994</v>
      </c>
      <c r="I156" s="304">
        <v>78.2</v>
      </c>
      <c r="J156" s="304">
        <v>590</v>
      </c>
      <c r="K156" s="304">
        <v>1.9</v>
      </c>
      <c r="L156" s="304">
        <v>1270</v>
      </c>
      <c r="M156" s="304">
        <v>164</v>
      </c>
      <c r="N156" s="304">
        <v>13.2</v>
      </c>
      <c r="O156" s="304">
        <v>47.4</v>
      </c>
      <c r="P156" s="304">
        <v>173000</v>
      </c>
      <c r="Q156" s="304">
        <f t="shared" si="3"/>
        <v>1998264.7999999998</v>
      </c>
      <c r="R156" s="305"/>
      <c r="S156" s="305"/>
      <c r="T156" s="305"/>
      <c r="U156" s="306"/>
      <c r="V156" s="307"/>
    </row>
    <row r="157" spans="1:22">
      <c r="A157" s="301">
        <v>2</v>
      </c>
      <c r="B157" s="302" t="s">
        <v>2</v>
      </c>
      <c r="C157" s="303">
        <v>4</v>
      </c>
      <c r="D157" s="361">
        <v>42534</v>
      </c>
      <c r="E157" s="304">
        <v>3520</v>
      </c>
      <c r="F157" s="304">
        <v>1640000</v>
      </c>
      <c r="G157" s="304">
        <v>55300</v>
      </c>
      <c r="H157" s="304">
        <v>112</v>
      </c>
      <c r="I157" s="304">
        <v>136</v>
      </c>
      <c r="J157" s="304">
        <v>755</v>
      </c>
      <c r="K157" s="304">
        <v>9.8000000000000007</v>
      </c>
      <c r="L157" s="304">
        <v>405</v>
      </c>
      <c r="M157" s="304">
        <v>27.5</v>
      </c>
      <c r="N157" s="304">
        <v>5</v>
      </c>
      <c r="O157" s="304">
        <v>18.399999999999999</v>
      </c>
      <c r="P157" s="304">
        <v>198000</v>
      </c>
      <c r="Q157" s="304">
        <f t="shared" ref="Q157:Q161" si="4">SUM(E157:P157)</f>
        <v>1898288.7</v>
      </c>
      <c r="R157" s="305"/>
      <c r="S157" s="305"/>
      <c r="T157" s="305"/>
      <c r="U157" s="306"/>
      <c r="V157" s="307"/>
    </row>
    <row r="158" spans="1:22">
      <c r="A158" s="135">
        <v>2</v>
      </c>
      <c r="B158" s="12" t="s">
        <v>2</v>
      </c>
      <c r="C158" s="99">
        <v>4</v>
      </c>
      <c r="D158" s="14">
        <v>42508</v>
      </c>
      <c r="E158" s="273">
        <v>1830</v>
      </c>
      <c r="F158" s="273">
        <v>1020000</v>
      </c>
      <c r="G158" s="273">
        <v>44700</v>
      </c>
      <c r="H158" s="273">
        <v>82.2</v>
      </c>
      <c r="I158" s="273">
        <v>95.5</v>
      </c>
      <c r="J158" s="273">
        <v>627</v>
      </c>
      <c r="K158" s="273">
        <v>13.1</v>
      </c>
      <c r="L158" s="273">
        <v>177</v>
      </c>
      <c r="M158" s="273">
        <v>21.9</v>
      </c>
      <c r="N158" s="273">
        <v>7.4</v>
      </c>
      <c r="O158" s="273">
        <v>4.9000000000000004</v>
      </c>
      <c r="P158" s="273">
        <v>146000</v>
      </c>
      <c r="Q158" s="273">
        <f t="shared" si="4"/>
        <v>1213558.9999999998</v>
      </c>
      <c r="R158" s="270"/>
      <c r="S158" s="270"/>
      <c r="T158" s="270"/>
      <c r="U158" s="271"/>
      <c r="V158" s="280"/>
    </row>
    <row r="159" spans="1:22">
      <c r="A159" s="135">
        <v>2</v>
      </c>
      <c r="B159" s="12" t="s">
        <v>2</v>
      </c>
      <c r="C159" s="99">
        <v>4</v>
      </c>
      <c r="D159" s="14">
        <v>42492</v>
      </c>
      <c r="E159" s="273">
        <v>2130</v>
      </c>
      <c r="F159" s="273">
        <v>945000</v>
      </c>
      <c r="G159" s="273">
        <v>28800</v>
      </c>
      <c r="H159" s="273">
        <v>68.7</v>
      </c>
      <c r="I159" s="273">
        <v>84.6</v>
      </c>
      <c r="J159" s="273">
        <v>547</v>
      </c>
      <c r="K159" s="273">
        <v>11.8</v>
      </c>
      <c r="L159" s="273">
        <v>543</v>
      </c>
      <c r="M159" s="273">
        <v>22.6</v>
      </c>
      <c r="N159" s="273">
        <v>8</v>
      </c>
      <c r="O159" s="273">
        <v>7.7</v>
      </c>
      <c r="P159" s="273">
        <v>136000</v>
      </c>
      <c r="Q159" s="273">
        <f t="shared" si="4"/>
        <v>1113223.3999999999</v>
      </c>
      <c r="R159" s="270"/>
      <c r="S159" s="270"/>
      <c r="T159" s="270"/>
      <c r="U159" s="271"/>
      <c r="V159" s="280"/>
    </row>
    <row r="160" spans="1:22">
      <c r="A160" s="135">
        <v>2</v>
      </c>
      <c r="B160" s="12" t="s">
        <v>2</v>
      </c>
      <c r="C160" s="99">
        <v>4</v>
      </c>
      <c r="D160" s="14">
        <v>42479</v>
      </c>
      <c r="E160" s="273">
        <v>1600</v>
      </c>
      <c r="F160" s="273">
        <v>791000</v>
      </c>
      <c r="G160" s="273">
        <v>22500</v>
      </c>
      <c r="H160" s="273">
        <v>62.8</v>
      </c>
      <c r="I160" s="273">
        <v>83.4</v>
      </c>
      <c r="J160" s="273">
        <v>640</v>
      </c>
      <c r="K160" s="273">
        <v>5.5</v>
      </c>
      <c r="L160" s="273">
        <v>300</v>
      </c>
      <c r="M160" s="273">
        <v>45.3</v>
      </c>
      <c r="N160" s="273">
        <v>11.5</v>
      </c>
      <c r="O160" s="273">
        <v>5</v>
      </c>
      <c r="P160" s="273">
        <v>41000</v>
      </c>
      <c r="Q160" s="273">
        <f t="shared" si="4"/>
        <v>857253.50000000012</v>
      </c>
      <c r="R160" s="270"/>
      <c r="S160" s="270"/>
      <c r="T160" s="270"/>
      <c r="U160" s="271"/>
      <c r="V160" s="280"/>
    </row>
    <row r="161" spans="1:22" ht="15" thickBot="1">
      <c r="A161" s="308">
        <v>2</v>
      </c>
      <c r="B161" s="309" t="s">
        <v>2</v>
      </c>
      <c r="C161" s="310">
        <v>4</v>
      </c>
      <c r="D161" s="362">
        <v>42445</v>
      </c>
      <c r="E161" s="311">
        <v>59.8</v>
      </c>
      <c r="F161" s="311">
        <v>45000</v>
      </c>
      <c r="G161" s="311">
        <v>1320</v>
      </c>
      <c r="H161" s="311">
        <v>2.6</v>
      </c>
      <c r="I161" s="311">
        <v>3.3</v>
      </c>
      <c r="J161" s="311">
        <v>52.1</v>
      </c>
      <c r="K161" s="311">
        <v>5.9</v>
      </c>
      <c r="L161" s="311">
        <v>376</v>
      </c>
      <c r="M161" s="311">
        <v>7.7</v>
      </c>
      <c r="N161" s="311">
        <v>5</v>
      </c>
      <c r="O161" s="312" t="s">
        <v>46</v>
      </c>
      <c r="P161" s="311">
        <v>2880</v>
      </c>
      <c r="Q161" s="311">
        <f t="shared" si="4"/>
        <v>49712.4</v>
      </c>
      <c r="R161" s="295"/>
      <c r="S161" s="295"/>
      <c r="T161" s="295"/>
      <c r="U161" s="296"/>
      <c r="V161" s="280"/>
    </row>
    <row r="162" spans="1:22" ht="15" thickBot="1">
      <c r="A162" s="313">
        <v>1</v>
      </c>
      <c r="B162" s="314" t="s">
        <v>61</v>
      </c>
      <c r="C162" s="315">
        <v>1</v>
      </c>
      <c r="D162" s="363">
        <v>44159</v>
      </c>
      <c r="E162" s="316">
        <v>104</v>
      </c>
      <c r="F162" s="317">
        <v>55000</v>
      </c>
      <c r="G162" s="316">
        <v>2530</v>
      </c>
      <c r="H162" s="318" t="s">
        <v>46</v>
      </c>
      <c r="I162" s="316">
        <v>2.1</v>
      </c>
      <c r="J162" s="316">
        <v>15.3</v>
      </c>
      <c r="K162" s="316">
        <v>10.6</v>
      </c>
      <c r="L162" s="316">
        <v>7730</v>
      </c>
      <c r="M162" s="316">
        <v>404</v>
      </c>
      <c r="N162" s="316">
        <v>10.3</v>
      </c>
      <c r="O162" s="316">
        <v>7250</v>
      </c>
      <c r="P162" s="316">
        <v>335</v>
      </c>
      <c r="Q162" s="316">
        <f>SUM(E162:P162)</f>
        <v>73391.3</v>
      </c>
      <c r="R162" s="319"/>
      <c r="S162" s="319"/>
      <c r="T162" s="320"/>
      <c r="U162" s="280"/>
      <c r="V162" s="280"/>
    </row>
    <row r="163" spans="1:22">
      <c r="A163" s="281">
        <v>1</v>
      </c>
      <c r="B163" s="282" t="s">
        <v>61</v>
      </c>
      <c r="C163" s="283">
        <v>2</v>
      </c>
      <c r="D163" s="358">
        <v>46085</v>
      </c>
      <c r="E163" s="284">
        <v>66.2</v>
      </c>
      <c r="F163" s="284">
        <v>63300</v>
      </c>
      <c r="G163" s="284">
        <v>4670</v>
      </c>
      <c r="H163" s="284" t="s">
        <v>46</v>
      </c>
      <c r="I163" s="284">
        <v>7.5</v>
      </c>
      <c r="J163" s="284">
        <v>200</v>
      </c>
      <c r="K163" s="284">
        <v>25.5</v>
      </c>
      <c r="L163" s="284">
        <v>89300</v>
      </c>
      <c r="M163" s="284">
        <v>8100</v>
      </c>
      <c r="N163" s="284">
        <v>106</v>
      </c>
      <c r="O163" s="284">
        <v>278000</v>
      </c>
      <c r="P163" s="284">
        <v>1650</v>
      </c>
      <c r="Q163" s="284">
        <f t="shared" ref="Q163:Q179" si="5">SUM(E163:P163)</f>
        <v>445425.2</v>
      </c>
      <c r="R163" s="285"/>
      <c r="S163" s="285"/>
      <c r="T163" s="285" t="s">
        <v>101</v>
      </c>
      <c r="U163" s="286"/>
      <c r="V163" s="280"/>
    </row>
    <row r="164" spans="1:22">
      <c r="A164" s="287">
        <v>1</v>
      </c>
      <c r="B164" s="288" t="s">
        <v>61</v>
      </c>
      <c r="C164" s="289">
        <v>2</v>
      </c>
      <c r="D164" s="359">
        <v>46056</v>
      </c>
      <c r="E164" s="290">
        <v>112</v>
      </c>
      <c r="F164" s="290">
        <v>72200</v>
      </c>
      <c r="G164" s="290">
        <v>9180</v>
      </c>
      <c r="H164" s="290">
        <v>3.4</v>
      </c>
      <c r="I164" s="290">
        <v>14.7</v>
      </c>
      <c r="J164" s="290">
        <v>242</v>
      </c>
      <c r="K164" s="290">
        <v>45.3</v>
      </c>
      <c r="L164" s="290">
        <v>146000</v>
      </c>
      <c r="M164" s="290">
        <v>7990</v>
      </c>
      <c r="N164" s="290">
        <v>311</v>
      </c>
      <c r="O164" s="290">
        <v>198000</v>
      </c>
      <c r="P164" s="290">
        <v>1930</v>
      </c>
      <c r="Q164" s="290">
        <f t="shared" si="5"/>
        <v>436028.4</v>
      </c>
      <c r="R164" s="270"/>
      <c r="S164" s="270"/>
      <c r="T164" s="270"/>
      <c r="U164" s="271"/>
      <c r="V164" s="280"/>
    </row>
    <row r="165" spans="1:22">
      <c r="A165" s="287">
        <v>1</v>
      </c>
      <c r="B165" s="288" t="s">
        <v>61</v>
      </c>
      <c r="C165" s="289">
        <v>2</v>
      </c>
      <c r="D165" s="359">
        <v>46028</v>
      </c>
      <c r="E165" s="290">
        <v>51.1</v>
      </c>
      <c r="F165" s="290">
        <v>63700</v>
      </c>
      <c r="G165" s="290">
        <v>7460</v>
      </c>
      <c r="H165" s="290">
        <v>2</v>
      </c>
      <c r="I165" s="290">
        <v>9.8000000000000007</v>
      </c>
      <c r="J165" s="290">
        <v>214</v>
      </c>
      <c r="K165" s="290">
        <v>24.9</v>
      </c>
      <c r="L165" s="290">
        <v>394000</v>
      </c>
      <c r="M165" s="290">
        <v>9870</v>
      </c>
      <c r="N165" s="290">
        <v>520</v>
      </c>
      <c r="O165" s="290">
        <v>272000</v>
      </c>
      <c r="P165" s="290">
        <v>1530</v>
      </c>
      <c r="Q165" s="290">
        <f t="shared" si="5"/>
        <v>749381.8</v>
      </c>
      <c r="R165" s="270"/>
      <c r="S165" s="270"/>
      <c r="T165" s="270"/>
      <c r="U165" s="271"/>
      <c r="V165" s="280"/>
    </row>
    <row r="166" spans="1:22">
      <c r="A166" s="287">
        <v>1</v>
      </c>
      <c r="B166" s="288" t="s">
        <v>61</v>
      </c>
      <c r="C166" s="289">
        <v>2</v>
      </c>
      <c r="D166" s="359">
        <v>45992</v>
      </c>
      <c r="E166" s="290">
        <v>102</v>
      </c>
      <c r="F166" s="290">
        <v>79200</v>
      </c>
      <c r="G166" s="290">
        <v>13200</v>
      </c>
      <c r="H166" s="290">
        <v>2.7</v>
      </c>
      <c r="I166" s="290">
        <v>17.399999999999999</v>
      </c>
      <c r="J166" s="290">
        <v>278</v>
      </c>
      <c r="K166" s="290">
        <v>45.2</v>
      </c>
      <c r="L166" s="290">
        <v>570000</v>
      </c>
      <c r="M166" s="290">
        <v>8070</v>
      </c>
      <c r="N166" s="290">
        <v>648</v>
      </c>
      <c r="O166" s="290">
        <v>208000</v>
      </c>
      <c r="P166" s="290">
        <v>2420</v>
      </c>
      <c r="Q166" s="290">
        <f t="shared" si="5"/>
        <v>881983.3</v>
      </c>
      <c r="R166" s="270"/>
      <c r="S166" s="270"/>
      <c r="T166" s="270"/>
      <c r="U166" s="271"/>
      <c r="V166" s="280"/>
    </row>
    <row r="167" spans="1:22">
      <c r="A167" s="287">
        <v>1</v>
      </c>
      <c r="B167" s="288" t="s">
        <v>61</v>
      </c>
      <c r="C167" s="289">
        <v>2</v>
      </c>
      <c r="D167" s="359">
        <v>45971</v>
      </c>
      <c r="E167" s="290">
        <v>38.6</v>
      </c>
      <c r="F167" s="290">
        <v>56900</v>
      </c>
      <c r="G167" s="290">
        <v>7440</v>
      </c>
      <c r="H167" s="290">
        <v>2.2999999999999998</v>
      </c>
      <c r="I167" s="290">
        <v>10.4</v>
      </c>
      <c r="J167" s="290">
        <v>267</v>
      </c>
      <c r="K167" s="290">
        <v>30.1</v>
      </c>
      <c r="L167" s="290">
        <v>159000</v>
      </c>
      <c r="M167" s="290">
        <v>7860</v>
      </c>
      <c r="N167" s="290">
        <v>378</v>
      </c>
      <c r="O167" s="290">
        <v>163000</v>
      </c>
      <c r="P167" s="290">
        <v>800</v>
      </c>
      <c r="Q167" s="290">
        <f t="shared" si="5"/>
        <v>395726.4</v>
      </c>
      <c r="R167" s="270" t="s">
        <v>36</v>
      </c>
      <c r="S167" s="270">
        <v>95</v>
      </c>
      <c r="T167" s="270" t="s">
        <v>101</v>
      </c>
      <c r="U167" s="271"/>
      <c r="V167" s="280"/>
    </row>
    <row r="168" spans="1:22">
      <c r="A168" s="287">
        <v>1</v>
      </c>
      <c r="B168" s="288" t="s">
        <v>61</v>
      </c>
      <c r="C168" s="289">
        <v>2</v>
      </c>
      <c r="D168" s="359">
        <v>45936</v>
      </c>
      <c r="E168" s="290">
        <v>107</v>
      </c>
      <c r="F168" s="290">
        <v>73300</v>
      </c>
      <c r="G168" s="290">
        <v>13000</v>
      </c>
      <c r="H168" s="290">
        <v>3</v>
      </c>
      <c r="I168" s="290">
        <v>17.5</v>
      </c>
      <c r="J168" s="290">
        <v>302</v>
      </c>
      <c r="K168" s="290">
        <v>42.6</v>
      </c>
      <c r="L168" s="290">
        <v>453000</v>
      </c>
      <c r="M168" s="290">
        <v>12900</v>
      </c>
      <c r="N168" s="290">
        <v>1070</v>
      </c>
      <c r="O168" s="290">
        <v>306000</v>
      </c>
      <c r="P168" s="290">
        <v>1540</v>
      </c>
      <c r="Q168" s="290">
        <f t="shared" si="5"/>
        <v>861282.1</v>
      </c>
      <c r="R168" s="270"/>
      <c r="S168" s="270"/>
      <c r="T168" s="270"/>
      <c r="U168" s="271"/>
      <c r="V168" s="280"/>
    </row>
    <row r="169" spans="1:22">
      <c r="A169" s="287">
        <v>1</v>
      </c>
      <c r="B169" s="288" t="s">
        <v>61</v>
      </c>
      <c r="C169" s="289">
        <v>2</v>
      </c>
      <c r="D169" s="359">
        <v>45909</v>
      </c>
      <c r="E169" s="290">
        <v>152</v>
      </c>
      <c r="F169" s="290">
        <v>80100</v>
      </c>
      <c r="G169" s="290">
        <v>5650</v>
      </c>
      <c r="H169" s="290">
        <v>4.0999999999999996</v>
      </c>
      <c r="I169" s="290">
        <v>3.5</v>
      </c>
      <c r="J169" s="290">
        <v>79</v>
      </c>
      <c r="K169" s="290">
        <v>2.6</v>
      </c>
      <c r="L169" s="290">
        <v>19500</v>
      </c>
      <c r="M169" s="290">
        <v>707</v>
      </c>
      <c r="N169" s="290">
        <v>85</v>
      </c>
      <c r="O169" s="290">
        <v>36500</v>
      </c>
      <c r="P169" s="290">
        <v>2850</v>
      </c>
      <c r="Q169" s="290">
        <f t="shared" si="5"/>
        <v>145633.20000000001</v>
      </c>
      <c r="R169" s="270"/>
      <c r="S169" s="270"/>
      <c r="T169" s="270"/>
      <c r="U169" s="271"/>
      <c r="V169" s="280"/>
    </row>
    <row r="170" spans="1:22">
      <c r="A170" s="287">
        <v>1</v>
      </c>
      <c r="B170" s="288" t="s">
        <v>61</v>
      </c>
      <c r="C170" s="289">
        <v>2</v>
      </c>
      <c r="D170" s="359">
        <v>45895</v>
      </c>
      <c r="E170" s="290">
        <v>119</v>
      </c>
      <c r="F170" s="290">
        <v>54100</v>
      </c>
      <c r="G170" s="290">
        <v>3470</v>
      </c>
      <c r="H170" s="290" t="s">
        <v>46</v>
      </c>
      <c r="I170" s="290">
        <v>2.9</v>
      </c>
      <c r="J170" s="290" t="s">
        <v>48</v>
      </c>
      <c r="K170" s="290">
        <v>4.5999999999999996</v>
      </c>
      <c r="L170" s="290">
        <v>34400</v>
      </c>
      <c r="M170" s="290">
        <v>1930</v>
      </c>
      <c r="N170" s="290">
        <v>152</v>
      </c>
      <c r="O170" s="290">
        <v>68100</v>
      </c>
      <c r="P170" s="290">
        <v>1210</v>
      </c>
      <c r="Q170" s="290">
        <f t="shared" si="5"/>
        <v>163488.5</v>
      </c>
      <c r="R170" s="270"/>
      <c r="S170" s="270"/>
      <c r="T170" s="270" t="s">
        <v>101</v>
      </c>
      <c r="U170" s="271"/>
      <c r="V170" s="280"/>
    </row>
    <row r="171" spans="1:22">
      <c r="A171" s="287">
        <v>1</v>
      </c>
      <c r="B171" s="288" t="s">
        <v>61</v>
      </c>
      <c r="C171" s="289">
        <v>2</v>
      </c>
      <c r="D171" s="359">
        <v>45840</v>
      </c>
      <c r="E171" s="290">
        <v>26.1</v>
      </c>
      <c r="F171" s="290">
        <v>33300</v>
      </c>
      <c r="G171" s="290">
        <v>854</v>
      </c>
      <c r="H171" s="290" t="s">
        <v>46</v>
      </c>
      <c r="I171" s="290">
        <v>2.1</v>
      </c>
      <c r="J171" s="290">
        <v>53.8</v>
      </c>
      <c r="K171" s="290">
        <v>6.9</v>
      </c>
      <c r="L171" s="290">
        <v>32000</v>
      </c>
      <c r="M171" s="290">
        <v>2280</v>
      </c>
      <c r="N171" s="290">
        <v>78</v>
      </c>
      <c r="O171" s="290">
        <v>93600</v>
      </c>
      <c r="P171" s="290">
        <v>549</v>
      </c>
      <c r="Q171" s="290">
        <f t="shared" si="5"/>
        <v>162749.9</v>
      </c>
      <c r="R171" s="270"/>
      <c r="S171" s="270"/>
      <c r="T171" s="270"/>
      <c r="U171" s="271"/>
      <c r="V171" s="280"/>
    </row>
    <row r="172" spans="1:22">
      <c r="A172" s="287">
        <v>1</v>
      </c>
      <c r="B172" s="288" t="s">
        <v>61</v>
      </c>
      <c r="C172" s="289">
        <v>2</v>
      </c>
      <c r="D172" s="359">
        <v>45811</v>
      </c>
      <c r="E172" s="290">
        <v>40.9</v>
      </c>
      <c r="F172" s="290">
        <v>47400</v>
      </c>
      <c r="G172" s="290">
        <v>1140</v>
      </c>
      <c r="H172" s="290" t="s">
        <v>46</v>
      </c>
      <c r="I172" s="290">
        <v>3</v>
      </c>
      <c r="J172" s="290">
        <v>80.099999999999994</v>
      </c>
      <c r="K172" s="290">
        <v>8.4</v>
      </c>
      <c r="L172" s="290">
        <v>42000</v>
      </c>
      <c r="M172" s="290">
        <v>1410</v>
      </c>
      <c r="N172" s="290">
        <v>103</v>
      </c>
      <c r="O172" s="290">
        <v>88700</v>
      </c>
      <c r="P172" s="290">
        <v>468</v>
      </c>
      <c r="Q172" s="290">
        <f t="shared" si="5"/>
        <v>181353.4</v>
      </c>
      <c r="R172" s="270"/>
      <c r="S172" s="270"/>
      <c r="T172" s="270"/>
      <c r="U172" s="271"/>
      <c r="V172" s="280"/>
    </row>
    <row r="173" spans="1:22">
      <c r="A173" s="287">
        <v>1</v>
      </c>
      <c r="B173" s="288" t="s">
        <v>61</v>
      </c>
      <c r="C173" s="289">
        <v>2</v>
      </c>
      <c r="D173" s="359">
        <v>45782</v>
      </c>
      <c r="E173" s="290">
        <v>138</v>
      </c>
      <c r="F173" s="290">
        <v>173000</v>
      </c>
      <c r="G173" s="290">
        <v>5980</v>
      </c>
      <c r="H173" s="290">
        <v>3</v>
      </c>
      <c r="I173" s="290">
        <v>6.1</v>
      </c>
      <c r="J173" s="290">
        <v>163</v>
      </c>
      <c r="K173" s="290">
        <v>19.2</v>
      </c>
      <c r="L173" s="290">
        <v>128000</v>
      </c>
      <c r="M173" s="290">
        <v>3880</v>
      </c>
      <c r="N173" s="290">
        <v>245</v>
      </c>
      <c r="O173" s="290">
        <v>143000</v>
      </c>
      <c r="P173" s="290">
        <v>1350</v>
      </c>
      <c r="Q173" s="290">
        <f t="shared" si="5"/>
        <v>455784.30000000005</v>
      </c>
      <c r="R173" s="270" t="s">
        <v>36</v>
      </c>
      <c r="S173" s="270" t="s">
        <v>50</v>
      </c>
      <c r="T173" s="270" t="s">
        <v>101</v>
      </c>
      <c r="U173" s="271"/>
      <c r="V173" s="280">
        <v>991</v>
      </c>
    </row>
    <row r="174" spans="1:22">
      <c r="A174" s="287">
        <v>1</v>
      </c>
      <c r="B174" s="288" t="s">
        <v>61</v>
      </c>
      <c r="C174" s="289">
        <v>2</v>
      </c>
      <c r="D174" s="359">
        <v>45755</v>
      </c>
      <c r="E174" s="290">
        <v>131</v>
      </c>
      <c r="F174" s="290">
        <v>118000</v>
      </c>
      <c r="G174" s="290">
        <v>4520</v>
      </c>
      <c r="H174" s="290" t="s">
        <v>46</v>
      </c>
      <c r="I174" s="290">
        <v>6.6</v>
      </c>
      <c r="J174" s="290">
        <v>199</v>
      </c>
      <c r="K174" s="290">
        <v>20.9</v>
      </c>
      <c r="L174" s="290">
        <v>148000</v>
      </c>
      <c r="M174" s="290">
        <v>3830</v>
      </c>
      <c r="N174" s="290">
        <v>308</v>
      </c>
      <c r="O174" s="290">
        <v>148000</v>
      </c>
      <c r="P174" s="290">
        <v>1120</v>
      </c>
      <c r="Q174" s="290">
        <f t="shared" si="5"/>
        <v>424135.5</v>
      </c>
      <c r="R174" s="270"/>
      <c r="S174" s="270"/>
      <c r="T174" s="270"/>
      <c r="U174" s="271"/>
      <c r="V174" s="280"/>
    </row>
    <row r="175" spans="1:22">
      <c r="A175" s="287">
        <v>1</v>
      </c>
      <c r="B175" s="288" t="s">
        <v>61</v>
      </c>
      <c r="C175" s="289">
        <v>2</v>
      </c>
      <c r="D175" s="359">
        <v>45727</v>
      </c>
      <c r="E175" s="290">
        <v>428</v>
      </c>
      <c r="F175" s="290">
        <v>167000</v>
      </c>
      <c r="G175" s="290">
        <v>8450</v>
      </c>
      <c r="H175" s="290" t="s">
        <v>46</v>
      </c>
      <c r="I175" s="290">
        <v>11.6</v>
      </c>
      <c r="J175" s="290">
        <v>248</v>
      </c>
      <c r="K175" s="290">
        <v>29.7</v>
      </c>
      <c r="L175" s="290">
        <v>189000</v>
      </c>
      <c r="M175" s="290">
        <v>3890</v>
      </c>
      <c r="N175" s="290">
        <v>426</v>
      </c>
      <c r="O175" s="290">
        <v>128000</v>
      </c>
      <c r="P175" s="290">
        <v>3260</v>
      </c>
      <c r="Q175" s="290">
        <f t="shared" si="5"/>
        <v>500743.30000000005</v>
      </c>
      <c r="R175" s="270"/>
      <c r="S175" s="270"/>
      <c r="T175" s="270"/>
      <c r="U175" s="271"/>
      <c r="V175" s="280"/>
    </row>
    <row r="176" spans="1:22">
      <c r="A176" s="287">
        <v>1</v>
      </c>
      <c r="B176" s="288" t="s">
        <v>61</v>
      </c>
      <c r="C176" s="289">
        <v>2</v>
      </c>
      <c r="D176" s="359">
        <v>45706</v>
      </c>
      <c r="E176" s="290">
        <v>319</v>
      </c>
      <c r="F176" s="290">
        <v>188000</v>
      </c>
      <c r="G176" s="290">
        <v>11300</v>
      </c>
      <c r="H176" s="290">
        <v>5.9</v>
      </c>
      <c r="I176" s="290">
        <v>12.7</v>
      </c>
      <c r="J176" s="290">
        <v>228</v>
      </c>
      <c r="K176" s="290">
        <v>30.7</v>
      </c>
      <c r="L176" s="290">
        <v>180000</v>
      </c>
      <c r="M176" s="290">
        <v>4770</v>
      </c>
      <c r="N176" s="290">
        <v>532</v>
      </c>
      <c r="O176" s="290">
        <v>133000</v>
      </c>
      <c r="P176" s="290">
        <v>3540</v>
      </c>
      <c r="Q176" s="290">
        <f t="shared" si="5"/>
        <v>521738.30000000005</v>
      </c>
      <c r="R176" s="270"/>
      <c r="S176" s="270"/>
      <c r="T176" s="270" t="s">
        <v>101</v>
      </c>
      <c r="U176" s="271"/>
      <c r="V176" s="280"/>
    </row>
    <row r="177" spans="1:22">
      <c r="A177" s="287">
        <v>1</v>
      </c>
      <c r="B177" s="288" t="s">
        <v>61</v>
      </c>
      <c r="C177" s="289">
        <v>2</v>
      </c>
      <c r="D177" s="359">
        <v>45670</v>
      </c>
      <c r="E177" s="290">
        <v>186</v>
      </c>
      <c r="F177" s="290">
        <v>151000</v>
      </c>
      <c r="G177" s="290">
        <v>8400</v>
      </c>
      <c r="H177" s="290">
        <v>2.2000000000000002</v>
      </c>
      <c r="I177" s="290">
        <v>9.3000000000000007</v>
      </c>
      <c r="J177" s="290">
        <v>266</v>
      </c>
      <c r="K177" s="290">
        <v>29.7</v>
      </c>
      <c r="L177" s="290">
        <v>148000</v>
      </c>
      <c r="M177" s="290">
        <v>4540</v>
      </c>
      <c r="N177" s="290">
        <v>309</v>
      </c>
      <c r="O177" s="290">
        <v>138000</v>
      </c>
      <c r="P177" s="290">
        <v>2150</v>
      </c>
      <c r="Q177" s="290">
        <f t="shared" si="5"/>
        <v>452892.2</v>
      </c>
      <c r="R177" s="270"/>
      <c r="S177" s="270"/>
      <c r="T177" s="270"/>
      <c r="U177" s="271"/>
      <c r="V177" s="280"/>
    </row>
    <row r="178" spans="1:22">
      <c r="A178" s="287">
        <v>1</v>
      </c>
      <c r="B178" s="288" t="s">
        <v>61</v>
      </c>
      <c r="C178" s="289">
        <v>2</v>
      </c>
      <c r="D178" s="359">
        <v>45644</v>
      </c>
      <c r="E178" s="290">
        <v>215</v>
      </c>
      <c r="F178" s="290">
        <v>141000</v>
      </c>
      <c r="G178" s="290">
        <v>9940</v>
      </c>
      <c r="H178" s="290">
        <v>2.6</v>
      </c>
      <c r="I178" s="290">
        <v>10.7</v>
      </c>
      <c r="J178" s="290">
        <v>226</v>
      </c>
      <c r="K178" s="290">
        <v>33.200000000000003</v>
      </c>
      <c r="L178" s="290">
        <v>133000</v>
      </c>
      <c r="M178" s="290">
        <v>3320</v>
      </c>
      <c r="N178" s="290">
        <v>278</v>
      </c>
      <c r="O178" s="290">
        <v>105000</v>
      </c>
      <c r="P178" s="290">
        <v>5270</v>
      </c>
      <c r="Q178" s="290">
        <f t="shared" si="5"/>
        <v>398295.5</v>
      </c>
      <c r="R178" s="270"/>
      <c r="S178" s="270"/>
      <c r="T178" s="270">
        <v>160</v>
      </c>
      <c r="U178" s="271">
        <v>270</v>
      </c>
      <c r="V178" s="280"/>
    </row>
    <row r="179" spans="1:22">
      <c r="A179" s="287">
        <v>1</v>
      </c>
      <c r="B179" s="288" t="s">
        <v>61</v>
      </c>
      <c r="C179" s="289">
        <v>2</v>
      </c>
      <c r="D179" s="359">
        <v>45616</v>
      </c>
      <c r="E179" s="290">
        <v>510</v>
      </c>
      <c r="F179" s="290">
        <v>184000</v>
      </c>
      <c r="G179" s="290">
        <v>6400</v>
      </c>
      <c r="H179" s="290">
        <v>2.2999999999999998</v>
      </c>
      <c r="I179" s="290">
        <v>4.4000000000000004</v>
      </c>
      <c r="J179" s="290">
        <v>59</v>
      </c>
      <c r="K179" s="290" t="s">
        <v>46</v>
      </c>
      <c r="L179" s="290">
        <v>10000</v>
      </c>
      <c r="M179" s="290">
        <v>414</v>
      </c>
      <c r="N179" s="290">
        <v>148</v>
      </c>
      <c r="O179" s="290">
        <v>6160</v>
      </c>
      <c r="P179" s="290">
        <v>13400</v>
      </c>
      <c r="Q179" s="290">
        <f t="shared" si="5"/>
        <v>221097.69999999998</v>
      </c>
      <c r="R179" s="270"/>
      <c r="S179" s="270"/>
      <c r="T179" s="270">
        <v>920</v>
      </c>
      <c r="U179" s="271">
        <v>40</v>
      </c>
      <c r="V179" s="280"/>
    </row>
    <row r="180" spans="1:22">
      <c r="A180" s="287">
        <v>1</v>
      </c>
      <c r="B180" s="288" t="s">
        <v>61</v>
      </c>
      <c r="C180" s="289">
        <v>2</v>
      </c>
      <c r="D180" s="359">
        <v>44978</v>
      </c>
      <c r="E180" s="290">
        <v>1080</v>
      </c>
      <c r="F180" s="290">
        <v>441000</v>
      </c>
      <c r="G180" s="290">
        <v>29200</v>
      </c>
      <c r="H180" s="290">
        <v>7.3</v>
      </c>
      <c r="I180" s="290">
        <v>27.3</v>
      </c>
      <c r="J180" s="290">
        <v>119</v>
      </c>
      <c r="K180" s="290">
        <v>74.2</v>
      </c>
      <c r="L180" s="290">
        <v>414000</v>
      </c>
      <c r="M180" s="290">
        <v>5470</v>
      </c>
      <c r="N180" s="290">
        <v>1100</v>
      </c>
      <c r="O180" s="290">
        <v>210000</v>
      </c>
      <c r="P180" s="290">
        <v>48100</v>
      </c>
      <c r="Q180" s="290">
        <f>SUM(E180:P180)</f>
        <v>1150177.8</v>
      </c>
      <c r="R180" s="270"/>
      <c r="S180" s="270"/>
      <c r="T180" s="270">
        <v>2560</v>
      </c>
      <c r="U180" s="271" t="s">
        <v>101</v>
      </c>
      <c r="V180" s="280"/>
    </row>
    <row r="181" spans="1:22">
      <c r="A181" s="287">
        <v>1</v>
      </c>
      <c r="B181" s="288" t="s">
        <v>61</v>
      </c>
      <c r="C181" s="289">
        <v>2</v>
      </c>
      <c r="D181" s="359">
        <v>44950</v>
      </c>
      <c r="E181" s="290">
        <v>889</v>
      </c>
      <c r="F181" s="290">
        <v>499000</v>
      </c>
      <c r="G181" s="290">
        <v>28500</v>
      </c>
      <c r="H181" s="290">
        <v>7.2</v>
      </c>
      <c r="I181" s="290">
        <v>24.4</v>
      </c>
      <c r="J181" s="290">
        <v>110</v>
      </c>
      <c r="K181" s="290">
        <v>63.2</v>
      </c>
      <c r="L181" s="290">
        <v>534000</v>
      </c>
      <c r="M181" s="290">
        <v>6160</v>
      </c>
      <c r="N181" s="290">
        <v>1260</v>
      </c>
      <c r="O181" s="290">
        <v>260000</v>
      </c>
      <c r="P181" s="290">
        <v>32800</v>
      </c>
      <c r="Q181" s="290">
        <f t="shared" ref="Q181:Q207" si="6">SUM(E181:P181)</f>
        <v>1362813.7999999998</v>
      </c>
      <c r="R181" s="270"/>
      <c r="S181" s="270"/>
      <c r="T181" s="270">
        <v>3030</v>
      </c>
      <c r="U181" s="271" t="s">
        <v>101</v>
      </c>
      <c r="V181" s="280"/>
    </row>
    <row r="182" spans="1:22">
      <c r="A182" s="287">
        <v>1</v>
      </c>
      <c r="B182" s="288" t="s">
        <v>61</v>
      </c>
      <c r="C182" s="289">
        <v>2</v>
      </c>
      <c r="D182" s="359">
        <v>44909</v>
      </c>
      <c r="E182" s="290">
        <v>957</v>
      </c>
      <c r="F182" s="290">
        <v>422000</v>
      </c>
      <c r="G182" s="290">
        <v>25700</v>
      </c>
      <c r="H182" s="290">
        <v>6.6</v>
      </c>
      <c r="I182" s="290">
        <v>26.5</v>
      </c>
      <c r="J182" s="290">
        <v>125</v>
      </c>
      <c r="K182" s="290">
        <v>74.5</v>
      </c>
      <c r="L182" s="290">
        <v>513000</v>
      </c>
      <c r="M182" s="290">
        <v>7000</v>
      </c>
      <c r="N182" s="290">
        <v>1110</v>
      </c>
      <c r="O182" s="290">
        <v>253000</v>
      </c>
      <c r="P182" s="290">
        <v>22200</v>
      </c>
      <c r="Q182" s="290">
        <f t="shared" si="6"/>
        <v>1245199.6000000001</v>
      </c>
      <c r="R182" s="270"/>
      <c r="S182" s="270"/>
      <c r="T182" s="270">
        <v>2480</v>
      </c>
      <c r="U182" s="271" t="s">
        <v>101</v>
      </c>
      <c r="V182" s="280"/>
    </row>
    <row r="183" spans="1:22">
      <c r="A183" s="287">
        <v>1</v>
      </c>
      <c r="B183" s="288" t="s">
        <v>61</v>
      </c>
      <c r="C183" s="289">
        <v>2</v>
      </c>
      <c r="D183" s="359">
        <v>44880</v>
      </c>
      <c r="E183" s="290">
        <v>1250</v>
      </c>
      <c r="F183" s="290">
        <v>407000</v>
      </c>
      <c r="G183" s="290">
        <v>34800</v>
      </c>
      <c r="H183" s="290">
        <v>8.6</v>
      </c>
      <c r="I183" s="290">
        <v>30.1</v>
      </c>
      <c r="J183" s="290">
        <v>147</v>
      </c>
      <c r="K183" s="290">
        <v>67.400000000000006</v>
      </c>
      <c r="L183" s="290">
        <v>422000</v>
      </c>
      <c r="M183" s="290">
        <v>6490</v>
      </c>
      <c r="N183" s="290">
        <v>636</v>
      </c>
      <c r="O183" s="290">
        <v>253000</v>
      </c>
      <c r="P183" s="290">
        <v>37300</v>
      </c>
      <c r="Q183" s="290">
        <f t="shared" si="6"/>
        <v>1162729.1000000001</v>
      </c>
      <c r="R183" s="270"/>
      <c r="S183" s="270"/>
      <c r="T183" s="270">
        <v>1590</v>
      </c>
      <c r="U183" s="271">
        <v>60</v>
      </c>
      <c r="V183" s="280"/>
    </row>
    <row r="184" spans="1:22">
      <c r="A184" s="287">
        <v>1</v>
      </c>
      <c r="B184" s="288" t="s">
        <v>61</v>
      </c>
      <c r="C184" s="289">
        <v>2</v>
      </c>
      <c r="D184" s="359">
        <v>44852</v>
      </c>
      <c r="E184" s="290">
        <v>1040</v>
      </c>
      <c r="F184" s="290">
        <v>406000</v>
      </c>
      <c r="G184" s="290">
        <v>25900</v>
      </c>
      <c r="H184" s="290">
        <v>6.3</v>
      </c>
      <c r="I184" s="290">
        <v>19.899999999999999</v>
      </c>
      <c r="J184" s="290">
        <v>151</v>
      </c>
      <c r="K184" s="290">
        <v>45.3</v>
      </c>
      <c r="L184" s="290">
        <v>344000</v>
      </c>
      <c r="M184" s="290">
        <v>4530</v>
      </c>
      <c r="N184" s="290">
        <v>994</v>
      </c>
      <c r="O184" s="290">
        <v>184000</v>
      </c>
      <c r="P184" s="290">
        <v>32300</v>
      </c>
      <c r="Q184" s="290">
        <f t="shared" si="6"/>
        <v>998986.5</v>
      </c>
      <c r="R184" s="270"/>
      <c r="S184" s="270"/>
      <c r="T184" s="270">
        <v>1950</v>
      </c>
      <c r="U184" s="271">
        <v>90</v>
      </c>
      <c r="V184" s="280"/>
    </row>
    <row r="185" spans="1:22">
      <c r="A185" s="287">
        <v>1</v>
      </c>
      <c r="B185" s="288" t="s">
        <v>61</v>
      </c>
      <c r="C185" s="289">
        <v>2</v>
      </c>
      <c r="D185" s="359">
        <v>44796</v>
      </c>
      <c r="E185" s="290">
        <v>1040</v>
      </c>
      <c r="F185" s="290">
        <v>479000</v>
      </c>
      <c r="G185" s="290">
        <v>26000</v>
      </c>
      <c r="H185" s="290">
        <v>6.2</v>
      </c>
      <c r="I185" s="290">
        <v>16.899999999999999</v>
      </c>
      <c r="J185" s="290">
        <v>146</v>
      </c>
      <c r="K185" s="290">
        <v>32.4</v>
      </c>
      <c r="L185" s="290">
        <v>270000</v>
      </c>
      <c r="M185" s="290">
        <v>3170</v>
      </c>
      <c r="N185" s="290">
        <v>409</v>
      </c>
      <c r="O185" s="290">
        <v>120000</v>
      </c>
      <c r="P185" s="290">
        <v>34200</v>
      </c>
      <c r="Q185" s="290">
        <f t="shared" si="6"/>
        <v>934020.5</v>
      </c>
      <c r="R185" s="270"/>
      <c r="S185" s="270"/>
      <c r="T185" s="270">
        <v>180</v>
      </c>
      <c r="U185" s="271" t="s">
        <v>101</v>
      </c>
      <c r="V185" s="280"/>
    </row>
    <row r="186" spans="1:22">
      <c r="A186" s="287">
        <v>1</v>
      </c>
      <c r="B186" s="288" t="s">
        <v>61</v>
      </c>
      <c r="C186" s="289">
        <v>2</v>
      </c>
      <c r="D186" s="359">
        <v>44747</v>
      </c>
      <c r="E186" s="290">
        <v>1000</v>
      </c>
      <c r="F186" s="290">
        <v>449000</v>
      </c>
      <c r="G186" s="290">
        <v>27800</v>
      </c>
      <c r="H186" s="290">
        <v>7.3</v>
      </c>
      <c r="I186" s="290">
        <v>22.2</v>
      </c>
      <c r="J186" s="290">
        <v>140</v>
      </c>
      <c r="K186" s="290">
        <v>41.6</v>
      </c>
      <c r="L186" s="290">
        <v>184000</v>
      </c>
      <c r="M186" s="290">
        <v>3470</v>
      </c>
      <c r="N186" s="290">
        <v>275</v>
      </c>
      <c r="O186" s="290">
        <v>126000</v>
      </c>
      <c r="P186" s="290">
        <v>18700</v>
      </c>
      <c r="Q186" s="290">
        <f t="shared" si="6"/>
        <v>810456.1</v>
      </c>
      <c r="R186" s="270"/>
      <c r="S186" s="270"/>
      <c r="T186" s="270">
        <v>1410</v>
      </c>
      <c r="U186" s="271">
        <v>360</v>
      </c>
      <c r="V186" s="280">
        <v>1430</v>
      </c>
    </row>
    <row r="187" spans="1:22">
      <c r="A187" s="287">
        <v>1</v>
      </c>
      <c r="B187" s="288" t="s">
        <v>61</v>
      </c>
      <c r="C187" s="289">
        <v>2</v>
      </c>
      <c r="D187" s="359">
        <v>44720</v>
      </c>
      <c r="E187" s="290">
        <v>2180</v>
      </c>
      <c r="F187" s="290">
        <v>691000</v>
      </c>
      <c r="G187" s="290">
        <v>51400</v>
      </c>
      <c r="H187" s="290">
        <v>8</v>
      </c>
      <c r="I187" s="290">
        <v>37.5</v>
      </c>
      <c r="J187" s="290">
        <v>174</v>
      </c>
      <c r="K187" s="290">
        <v>54.2</v>
      </c>
      <c r="L187" s="290">
        <v>267000</v>
      </c>
      <c r="M187" s="290">
        <v>3630</v>
      </c>
      <c r="N187" s="290">
        <v>280</v>
      </c>
      <c r="O187" s="290">
        <v>147000</v>
      </c>
      <c r="P187" s="290">
        <v>41400</v>
      </c>
      <c r="Q187" s="290">
        <f t="shared" si="6"/>
        <v>1204163.7</v>
      </c>
      <c r="R187" s="270"/>
      <c r="S187" s="270"/>
      <c r="T187" s="270">
        <v>800</v>
      </c>
      <c r="U187" s="271">
        <v>150</v>
      </c>
      <c r="V187" s="280"/>
    </row>
    <row r="188" spans="1:22">
      <c r="A188" s="287">
        <v>1</v>
      </c>
      <c r="B188" s="288" t="s">
        <v>61</v>
      </c>
      <c r="C188" s="289">
        <v>2</v>
      </c>
      <c r="D188" s="359">
        <v>44704</v>
      </c>
      <c r="E188" s="290">
        <v>1280</v>
      </c>
      <c r="F188" s="290">
        <v>553000</v>
      </c>
      <c r="G188" s="290">
        <v>33700</v>
      </c>
      <c r="H188" s="290">
        <v>8</v>
      </c>
      <c r="I188" s="290">
        <v>23.7</v>
      </c>
      <c r="J188" s="290">
        <v>164</v>
      </c>
      <c r="K188" s="290">
        <v>45.7</v>
      </c>
      <c r="L188" s="290">
        <v>374000</v>
      </c>
      <c r="M188" s="290">
        <v>4580</v>
      </c>
      <c r="N188" s="290">
        <v>477</v>
      </c>
      <c r="O188" s="290">
        <v>159000</v>
      </c>
      <c r="P188" s="290">
        <v>28100</v>
      </c>
      <c r="Q188" s="290">
        <f t="shared" si="6"/>
        <v>1154378.3999999999</v>
      </c>
      <c r="R188" s="270" t="s">
        <v>40</v>
      </c>
      <c r="S188" s="270">
        <v>620</v>
      </c>
      <c r="T188" s="270">
        <v>880</v>
      </c>
      <c r="U188" s="271">
        <v>190</v>
      </c>
      <c r="V188" s="280"/>
    </row>
    <row r="189" spans="1:22">
      <c r="A189" s="287">
        <v>1</v>
      </c>
      <c r="B189" s="288" t="s">
        <v>61</v>
      </c>
      <c r="C189" s="289">
        <v>2</v>
      </c>
      <c r="D189" s="359">
        <v>44676</v>
      </c>
      <c r="E189" s="290">
        <v>2240</v>
      </c>
      <c r="F189" s="290">
        <v>527000</v>
      </c>
      <c r="G189" s="290">
        <v>48300</v>
      </c>
      <c r="H189" s="290">
        <v>11.7</v>
      </c>
      <c r="I189" s="290">
        <v>52.2</v>
      </c>
      <c r="J189" s="290">
        <v>190</v>
      </c>
      <c r="K189" s="290">
        <v>102</v>
      </c>
      <c r="L189" s="290">
        <v>273000</v>
      </c>
      <c r="M189" s="290">
        <v>4790</v>
      </c>
      <c r="N189" s="290">
        <v>411</v>
      </c>
      <c r="O189" s="290">
        <v>186000</v>
      </c>
      <c r="P189" s="290">
        <v>33600</v>
      </c>
      <c r="Q189" s="290">
        <f t="shared" si="6"/>
        <v>1075696.8999999999</v>
      </c>
      <c r="R189" s="270"/>
      <c r="S189" s="270"/>
      <c r="T189" s="270"/>
      <c r="U189" s="271"/>
      <c r="V189" s="280"/>
    </row>
    <row r="190" spans="1:22">
      <c r="A190" s="287">
        <v>1</v>
      </c>
      <c r="B190" s="288" t="s">
        <v>61</v>
      </c>
      <c r="C190" s="289">
        <v>2</v>
      </c>
      <c r="D190" s="359">
        <v>44641</v>
      </c>
      <c r="E190" s="290">
        <v>1070</v>
      </c>
      <c r="F190" s="290">
        <v>392000</v>
      </c>
      <c r="G190" s="290">
        <v>44200</v>
      </c>
      <c r="H190" s="290">
        <v>7.1</v>
      </c>
      <c r="I190" s="290">
        <v>42</v>
      </c>
      <c r="J190" s="290">
        <v>398</v>
      </c>
      <c r="K190" s="290">
        <v>89.6</v>
      </c>
      <c r="L190" s="290">
        <v>495000</v>
      </c>
      <c r="M190" s="290">
        <v>8480</v>
      </c>
      <c r="N190" s="290">
        <v>967</v>
      </c>
      <c r="O190" s="290">
        <v>270000</v>
      </c>
      <c r="P190" s="290">
        <v>16200</v>
      </c>
      <c r="Q190" s="290">
        <f t="shared" si="6"/>
        <v>1228453.7</v>
      </c>
      <c r="R190" s="270"/>
      <c r="S190" s="270"/>
      <c r="T190" s="270">
        <v>2000</v>
      </c>
      <c r="U190" s="271">
        <v>300</v>
      </c>
      <c r="V190" s="280"/>
    </row>
    <row r="191" spans="1:22">
      <c r="A191" s="287">
        <v>1</v>
      </c>
      <c r="B191" s="288" t="s">
        <v>61</v>
      </c>
      <c r="C191" s="289">
        <v>2</v>
      </c>
      <c r="D191" s="359">
        <v>44613</v>
      </c>
      <c r="E191" s="290">
        <v>1220</v>
      </c>
      <c r="F191" s="290">
        <v>594000</v>
      </c>
      <c r="G191" s="290">
        <v>36900</v>
      </c>
      <c r="H191" s="290">
        <v>8.5</v>
      </c>
      <c r="I191" s="290">
        <v>27.8</v>
      </c>
      <c r="J191" s="290">
        <v>120</v>
      </c>
      <c r="K191" s="290">
        <v>62.2</v>
      </c>
      <c r="L191" s="290">
        <v>587000</v>
      </c>
      <c r="M191" s="290">
        <v>5660</v>
      </c>
      <c r="N191" s="290">
        <v>1060</v>
      </c>
      <c r="O191" s="290">
        <v>269000</v>
      </c>
      <c r="P191" s="290">
        <v>30600</v>
      </c>
      <c r="Q191" s="290">
        <f t="shared" si="6"/>
        <v>1525658.5</v>
      </c>
      <c r="R191" s="270"/>
      <c r="S191" s="270"/>
      <c r="T191" s="270">
        <v>1720</v>
      </c>
      <c r="U191" s="271">
        <v>280</v>
      </c>
      <c r="V191" s="280"/>
    </row>
    <row r="192" spans="1:22">
      <c r="A192" s="287">
        <v>1</v>
      </c>
      <c r="B192" s="288" t="s">
        <v>61</v>
      </c>
      <c r="C192" s="289">
        <v>2</v>
      </c>
      <c r="D192" s="359">
        <v>44586</v>
      </c>
      <c r="E192" s="290">
        <v>856</v>
      </c>
      <c r="F192" s="290">
        <v>467000</v>
      </c>
      <c r="G192" s="290">
        <v>25700</v>
      </c>
      <c r="H192" s="290">
        <v>7.1</v>
      </c>
      <c r="I192" s="290">
        <v>22.1</v>
      </c>
      <c r="J192" s="290">
        <v>108</v>
      </c>
      <c r="K192" s="290">
        <v>46</v>
      </c>
      <c r="L192" s="290">
        <v>324000</v>
      </c>
      <c r="M192" s="290">
        <v>3860</v>
      </c>
      <c r="N192" s="290">
        <v>488</v>
      </c>
      <c r="O192" s="290">
        <v>182000</v>
      </c>
      <c r="P192" s="290">
        <v>28800</v>
      </c>
      <c r="Q192" s="290">
        <f t="shared" si="6"/>
        <v>1032887.2</v>
      </c>
      <c r="R192" s="270"/>
      <c r="S192" s="270"/>
      <c r="T192" s="270">
        <v>830</v>
      </c>
      <c r="U192" s="271">
        <v>130</v>
      </c>
      <c r="V192" s="280"/>
    </row>
    <row r="193" spans="1:22">
      <c r="A193" s="287">
        <v>1</v>
      </c>
      <c r="B193" s="288" t="s">
        <v>61</v>
      </c>
      <c r="C193" s="289">
        <v>2</v>
      </c>
      <c r="D193" s="359">
        <v>44543</v>
      </c>
      <c r="E193" s="290">
        <v>1460</v>
      </c>
      <c r="F193" s="290">
        <v>426000</v>
      </c>
      <c r="G193" s="290">
        <v>30000</v>
      </c>
      <c r="H193" s="290">
        <v>6.6</v>
      </c>
      <c r="I193" s="290">
        <v>34.4</v>
      </c>
      <c r="J193" s="290">
        <v>117</v>
      </c>
      <c r="K193" s="290">
        <v>75.3</v>
      </c>
      <c r="L193" s="290">
        <v>353000</v>
      </c>
      <c r="M193" s="290">
        <v>4740</v>
      </c>
      <c r="N193" s="290">
        <v>991</v>
      </c>
      <c r="O193" s="290">
        <v>212000</v>
      </c>
      <c r="P193" s="290">
        <v>27700</v>
      </c>
      <c r="Q193" s="290">
        <f t="shared" si="6"/>
        <v>1056124.3</v>
      </c>
      <c r="R193" s="270"/>
      <c r="S193" s="270"/>
      <c r="T193" s="270">
        <v>1260</v>
      </c>
      <c r="U193" s="271"/>
      <c r="V193" s="280"/>
    </row>
    <row r="194" spans="1:22">
      <c r="A194" s="287">
        <v>1</v>
      </c>
      <c r="B194" s="288" t="s">
        <v>61</v>
      </c>
      <c r="C194" s="289">
        <v>2</v>
      </c>
      <c r="D194" s="359">
        <v>44515</v>
      </c>
      <c r="E194" s="290">
        <v>1420</v>
      </c>
      <c r="F194" s="290">
        <v>497000</v>
      </c>
      <c r="G194" s="290">
        <v>30200</v>
      </c>
      <c r="H194" s="290">
        <v>7.8</v>
      </c>
      <c r="I194" s="290">
        <v>25.4</v>
      </c>
      <c r="J194" s="290">
        <v>141</v>
      </c>
      <c r="K194" s="290">
        <v>61.6</v>
      </c>
      <c r="L194" s="290">
        <v>372000</v>
      </c>
      <c r="M194" s="290">
        <v>3620</v>
      </c>
      <c r="N194" s="290">
        <v>976</v>
      </c>
      <c r="O194" s="290">
        <v>141000</v>
      </c>
      <c r="P194" s="290">
        <v>29700</v>
      </c>
      <c r="Q194" s="290">
        <f t="shared" si="6"/>
        <v>1076151.8</v>
      </c>
      <c r="R194" s="270"/>
      <c r="S194" s="270"/>
      <c r="T194" s="270">
        <v>2030</v>
      </c>
      <c r="U194" s="271" t="s">
        <v>101</v>
      </c>
      <c r="V194" s="280"/>
    </row>
    <row r="195" spans="1:22">
      <c r="A195" s="287">
        <v>1</v>
      </c>
      <c r="B195" s="288" t="s">
        <v>61</v>
      </c>
      <c r="C195" s="289">
        <v>2</v>
      </c>
      <c r="D195" s="359">
        <v>44489</v>
      </c>
      <c r="E195" s="290">
        <v>1210</v>
      </c>
      <c r="F195" s="290">
        <v>429000</v>
      </c>
      <c r="G195" s="290">
        <v>24800</v>
      </c>
      <c r="H195" s="290">
        <v>8</v>
      </c>
      <c r="I195" s="290">
        <v>22.2</v>
      </c>
      <c r="J195" s="290">
        <v>152</v>
      </c>
      <c r="K195" s="290">
        <v>54.4</v>
      </c>
      <c r="L195" s="290">
        <v>336000</v>
      </c>
      <c r="M195" s="290">
        <v>4080</v>
      </c>
      <c r="N195" s="290">
        <v>510</v>
      </c>
      <c r="O195" s="290">
        <v>207000</v>
      </c>
      <c r="P195" s="290">
        <v>17700</v>
      </c>
      <c r="Q195" s="290">
        <f t="shared" si="6"/>
        <v>1020536.6000000001</v>
      </c>
      <c r="R195" s="270"/>
      <c r="S195" s="270"/>
      <c r="T195" s="270"/>
      <c r="U195" s="271"/>
      <c r="V195" s="280"/>
    </row>
    <row r="196" spans="1:22">
      <c r="A196" s="287">
        <v>1</v>
      </c>
      <c r="B196" s="288" t="s">
        <v>61</v>
      </c>
      <c r="C196" s="289">
        <v>2</v>
      </c>
      <c r="D196" s="359">
        <v>44466</v>
      </c>
      <c r="E196" s="290">
        <v>1340</v>
      </c>
      <c r="F196" s="290">
        <v>348000</v>
      </c>
      <c r="G196" s="290">
        <v>30200</v>
      </c>
      <c r="H196" s="290">
        <v>8.6</v>
      </c>
      <c r="I196" s="290">
        <v>34.9</v>
      </c>
      <c r="J196" s="290">
        <v>167</v>
      </c>
      <c r="K196" s="290">
        <v>90.7</v>
      </c>
      <c r="L196" s="290">
        <v>183000</v>
      </c>
      <c r="M196" s="290">
        <v>3520</v>
      </c>
      <c r="N196" s="290">
        <v>513</v>
      </c>
      <c r="O196" s="290">
        <v>123000</v>
      </c>
      <c r="P196" s="290">
        <v>15900</v>
      </c>
      <c r="Q196" s="290">
        <f t="shared" si="6"/>
        <v>705774.2</v>
      </c>
      <c r="R196" s="270"/>
      <c r="S196" s="270"/>
      <c r="T196" s="270"/>
      <c r="U196" s="271"/>
      <c r="V196" s="280"/>
    </row>
    <row r="197" spans="1:22">
      <c r="A197" s="287">
        <v>1</v>
      </c>
      <c r="B197" s="288" t="s">
        <v>61</v>
      </c>
      <c r="C197" s="289">
        <v>2</v>
      </c>
      <c r="D197" s="359">
        <v>44431</v>
      </c>
      <c r="E197" s="290">
        <v>1180</v>
      </c>
      <c r="F197" s="290">
        <v>320000</v>
      </c>
      <c r="G197" s="290">
        <v>28400</v>
      </c>
      <c r="H197" s="290">
        <v>8.6</v>
      </c>
      <c r="I197" s="290">
        <v>32.5</v>
      </c>
      <c r="J197" s="290">
        <v>182</v>
      </c>
      <c r="K197" s="290">
        <v>86.3</v>
      </c>
      <c r="L197" s="290">
        <v>224000</v>
      </c>
      <c r="M197" s="290">
        <v>4140</v>
      </c>
      <c r="N197" s="290">
        <v>764</v>
      </c>
      <c r="O197" s="290">
        <v>179000</v>
      </c>
      <c r="P197" s="290">
        <v>14400</v>
      </c>
      <c r="Q197" s="290">
        <f t="shared" si="6"/>
        <v>772193.39999999991</v>
      </c>
      <c r="R197" s="270"/>
      <c r="S197" s="270"/>
      <c r="T197" s="270"/>
      <c r="U197" s="271"/>
      <c r="V197" s="280"/>
    </row>
    <row r="198" spans="1:22">
      <c r="A198" s="287">
        <v>1</v>
      </c>
      <c r="B198" s="288" t="s">
        <v>61</v>
      </c>
      <c r="C198" s="289">
        <v>2</v>
      </c>
      <c r="D198" s="359">
        <v>44406</v>
      </c>
      <c r="E198" s="290">
        <v>1070</v>
      </c>
      <c r="F198" s="290">
        <v>371000</v>
      </c>
      <c r="G198" s="290">
        <v>27200</v>
      </c>
      <c r="H198" s="290">
        <v>9.1</v>
      </c>
      <c r="I198" s="290">
        <v>28.1</v>
      </c>
      <c r="J198" s="290">
        <v>176</v>
      </c>
      <c r="K198" s="290">
        <v>82.9</v>
      </c>
      <c r="L198" s="290">
        <v>446000</v>
      </c>
      <c r="M198" s="290">
        <v>5630</v>
      </c>
      <c r="N198" s="290">
        <v>1020</v>
      </c>
      <c r="O198" s="290">
        <v>280000</v>
      </c>
      <c r="P198" s="290">
        <v>12700</v>
      </c>
      <c r="Q198" s="290">
        <f t="shared" si="6"/>
        <v>1144916.1000000001</v>
      </c>
      <c r="R198" s="270"/>
      <c r="S198" s="270"/>
      <c r="T198" s="270"/>
      <c r="U198" s="271"/>
    </row>
    <row r="199" spans="1:22">
      <c r="A199" s="287">
        <v>1</v>
      </c>
      <c r="B199" s="288" t="s">
        <v>61</v>
      </c>
      <c r="C199" s="289">
        <v>2</v>
      </c>
      <c r="D199" s="359">
        <v>44371</v>
      </c>
      <c r="E199" s="290">
        <v>1080</v>
      </c>
      <c r="F199" s="290">
        <v>346000</v>
      </c>
      <c r="G199" s="290">
        <v>21500</v>
      </c>
      <c r="H199" s="290">
        <v>8.6999999999999993</v>
      </c>
      <c r="I199" s="290">
        <v>27.7</v>
      </c>
      <c r="J199" s="290">
        <v>161</v>
      </c>
      <c r="K199" s="290">
        <v>64.900000000000006</v>
      </c>
      <c r="L199" s="290">
        <v>373000</v>
      </c>
      <c r="M199" s="290">
        <v>5090</v>
      </c>
      <c r="N199" s="290">
        <v>582</v>
      </c>
      <c r="O199" s="290">
        <v>271000</v>
      </c>
      <c r="P199" s="290">
        <v>19000</v>
      </c>
      <c r="Q199" s="290">
        <f t="shared" si="6"/>
        <v>1037514.3</v>
      </c>
      <c r="R199" s="270"/>
      <c r="S199" s="270"/>
      <c r="T199" s="270"/>
      <c r="U199" s="271"/>
    </row>
    <row r="200" spans="1:22">
      <c r="A200" s="287">
        <v>1</v>
      </c>
      <c r="B200" s="288" t="s">
        <v>61</v>
      </c>
      <c r="C200" s="289">
        <v>2</v>
      </c>
      <c r="D200" s="359">
        <v>44341</v>
      </c>
      <c r="E200" s="290">
        <v>912</v>
      </c>
      <c r="F200" s="290">
        <v>314000</v>
      </c>
      <c r="G200" s="290">
        <v>21500</v>
      </c>
      <c r="H200" s="290">
        <v>7.8</v>
      </c>
      <c r="I200" s="290">
        <v>23.9</v>
      </c>
      <c r="J200" s="290">
        <v>164</v>
      </c>
      <c r="K200" s="290">
        <v>58</v>
      </c>
      <c r="L200" s="290">
        <v>392000</v>
      </c>
      <c r="M200" s="290">
        <v>4800</v>
      </c>
      <c r="N200" s="290">
        <v>763</v>
      </c>
      <c r="O200" s="290">
        <v>219000</v>
      </c>
      <c r="P200" s="290">
        <v>12700</v>
      </c>
      <c r="Q200" s="290">
        <f t="shared" si="6"/>
        <v>965928.7</v>
      </c>
      <c r="R200" s="270"/>
      <c r="S200" s="270">
        <v>632</v>
      </c>
      <c r="T200" s="270"/>
      <c r="U200" s="271"/>
      <c r="V200" s="265"/>
    </row>
    <row r="201" spans="1:22">
      <c r="A201" s="287">
        <v>1</v>
      </c>
      <c r="B201" s="288" t="s">
        <v>61</v>
      </c>
      <c r="C201" s="289">
        <v>2</v>
      </c>
      <c r="D201" s="359">
        <v>44312</v>
      </c>
      <c r="E201" s="290">
        <v>667</v>
      </c>
      <c r="F201" s="290">
        <v>247000</v>
      </c>
      <c r="G201" s="290">
        <v>18500</v>
      </c>
      <c r="H201" s="290">
        <v>5.6</v>
      </c>
      <c r="I201" s="290">
        <v>18.5</v>
      </c>
      <c r="J201" s="290">
        <v>195</v>
      </c>
      <c r="K201" s="290">
        <v>41.6</v>
      </c>
      <c r="L201" s="290">
        <v>408000</v>
      </c>
      <c r="M201" s="290">
        <v>4840</v>
      </c>
      <c r="N201" s="290">
        <v>603</v>
      </c>
      <c r="O201" s="290">
        <v>207000</v>
      </c>
      <c r="P201" s="290">
        <v>10300</v>
      </c>
      <c r="Q201" s="290">
        <f t="shared" si="6"/>
        <v>897170.7</v>
      </c>
      <c r="R201" s="270"/>
      <c r="S201" s="270"/>
      <c r="T201" s="270"/>
      <c r="U201" s="271"/>
      <c r="V201" s="280"/>
    </row>
    <row r="202" spans="1:22">
      <c r="A202" s="287">
        <v>1</v>
      </c>
      <c r="B202" s="288" t="s">
        <v>61</v>
      </c>
      <c r="C202" s="289">
        <v>2</v>
      </c>
      <c r="D202" s="359">
        <v>44280</v>
      </c>
      <c r="E202" s="290">
        <v>703</v>
      </c>
      <c r="F202" s="290">
        <v>230000</v>
      </c>
      <c r="G202" s="290">
        <v>22900</v>
      </c>
      <c r="H202" s="290">
        <v>7.2</v>
      </c>
      <c r="I202" s="290">
        <v>23.8</v>
      </c>
      <c r="J202" s="290">
        <v>325</v>
      </c>
      <c r="K202" s="290">
        <v>70</v>
      </c>
      <c r="L202" s="290">
        <v>299000</v>
      </c>
      <c r="M202" s="290">
        <v>5060</v>
      </c>
      <c r="N202" s="290">
        <v>876</v>
      </c>
      <c r="O202" s="290">
        <v>195000</v>
      </c>
      <c r="P202" s="290">
        <v>6720</v>
      </c>
      <c r="Q202" s="290">
        <f t="shared" si="6"/>
        <v>760685</v>
      </c>
      <c r="R202" s="270"/>
      <c r="S202" s="270"/>
      <c r="T202" s="270"/>
      <c r="U202" s="271"/>
      <c r="V202" s="280"/>
    </row>
    <row r="203" spans="1:22">
      <c r="A203" s="287">
        <v>1</v>
      </c>
      <c r="B203" s="288" t="s">
        <v>61</v>
      </c>
      <c r="C203" s="289">
        <v>2</v>
      </c>
      <c r="D203" s="359">
        <v>44249</v>
      </c>
      <c r="E203" s="290">
        <v>99.4</v>
      </c>
      <c r="F203" s="290">
        <v>66700</v>
      </c>
      <c r="G203" s="290">
        <v>12600</v>
      </c>
      <c r="H203" s="290">
        <v>3</v>
      </c>
      <c r="I203" s="290">
        <v>18</v>
      </c>
      <c r="J203" s="290">
        <v>519</v>
      </c>
      <c r="K203" s="290">
        <v>50.8</v>
      </c>
      <c r="L203" s="290">
        <v>168000</v>
      </c>
      <c r="M203" s="290">
        <v>4500</v>
      </c>
      <c r="N203" s="290">
        <v>229</v>
      </c>
      <c r="O203" s="290">
        <v>85400</v>
      </c>
      <c r="P203" s="290">
        <v>1220</v>
      </c>
      <c r="Q203" s="290">
        <f t="shared" si="6"/>
        <v>339339.2</v>
      </c>
      <c r="R203" s="270"/>
      <c r="S203" s="270"/>
      <c r="T203" s="270"/>
      <c r="U203" s="271"/>
      <c r="V203" s="280"/>
    </row>
    <row r="204" spans="1:22">
      <c r="A204" s="287">
        <v>1</v>
      </c>
      <c r="B204" s="288" t="s">
        <v>61</v>
      </c>
      <c r="C204" s="289">
        <v>2</v>
      </c>
      <c r="D204" s="359">
        <v>44217</v>
      </c>
      <c r="E204" s="290">
        <v>642</v>
      </c>
      <c r="F204" s="290">
        <v>165000</v>
      </c>
      <c r="G204" s="290">
        <v>8730</v>
      </c>
      <c r="H204" s="290">
        <v>3.1</v>
      </c>
      <c r="I204" s="290">
        <v>7.1</v>
      </c>
      <c r="J204" s="290">
        <v>33.5</v>
      </c>
      <c r="K204" s="290">
        <v>13</v>
      </c>
      <c r="L204" s="290">
        <v>30800</v>
      </c>
      <c r="M204" s="290">
        <v>402</v>
      </c>
      <c r="N204" s="290">
        <v>285</v>
      </c>
      <c r="O204" s="290">
        <v>33900</v>
      </c>
      <c r="P204" s="290">
        <v>5580</v>
      </c>
      <c r="Q204" s="290">
        <f t="shared" si="6"/>
        <v>245395.7</v>
      </c>
      <c r="R204" s="270"/>
      <c r="S204" s="270"/>
      <c r="T204" s="270"/>
      <c r="U204" s="271"/>
      <c r="V204" s="280"/>
    </row>
    <row r="205" spans="1:22">
      <c r="A205" s="287">
        <v>1</v>
      </c>
      <c r="B205" s="288" t="s">
        <v>61</v>
      </c>
      <c r="C205" s="289">
        <v>2</v>
      </c>
      <c r="D205" s="359">
        <v>44186</v>
      </c>
      <c r="E205" s="290">
        <v>397</v>
      </c>
      <c r="F205" s="290">
        <v>130000</v>
      </c>
      <c r="G205" s="290">
        <v>6740</v>
      </c>
      <c r="H205" s="290">
        <v>2.2000000000000002</v>
      </c>
      <c r="I205" s="290">
        <v>5.6</v>
      </c>
      <c r="J205" s="290">
        <v>27</v>
      </c>
      <c r="K205" s="290">
        <v>17.899999999999999</v>
      </c>
      <c r="L205" s="290">
        <v>119000</v>
      </c>
      <c r="M205" s="290">
        <v>851</v>
      </c>
      <c r="N205" s="290">
        <v>531</v>
      </c>
      <c r="O205" s="290">
        <v>62300</v>
      </c>
      <c r="P205" s="290">
        <v>5640</v>
      </c>
      <c r="Q205" s="290">
        <f t="shared" si="6"/>
        <v>325511.7</v>
      </c>
      <c r="R205" s="270"/>
      <c r="S205" s="270"/>
      <c r="T205" s="270"/>
      <c r="U205" s="271"/>
      <c r="V205" s="280"/>
    </row>
    <row r="206" spans="1:22">
      <c r="A206" s="287">
        <v>1</v>
      </c>
      <c r="B206" s="288" t="s">
        <v>61</v>
      </c>
      <c r="C206" s="289">
        <v>2</v>
      </c>
      <c r="D206" s="359">
        <v>44174</v>
      </c>
      <c r="E206" s="290">
        <v>440</v>
      </c>
      <c r="F206" s="290">
        <v>105000</v>
      </c>
      <c r="G206" s="290">
        <v>5980</v>
      </c>
      <c r="H206" s="290">
        <v>1.6</v>
      </c>
      <c r="I206" s="290">
        <v>4.4000000000000004</v>
      </c>
      <c r="J206" s="290">
        <v>34.200000000000003</v>
      </c>
      <c r="K206" s="290">
        <v>12.4</v>
      </c>
      <c r="L206" s="290">
        <v>102000</v>
      </c>
      <c r="M206" s="290">
        <v>660</v>
      </c>
      <c r="N206" s="290">
        <v>640</v>
      </c>
      <c r="O206" s="290">
        <v>61700</v>
      </c>
      <c r="P206" s="290">
        <v>8950</v>
      </c>
      <c r="Q206" s="290">
        <f t="shared" si="6"/>
        <v>285422.59999999998</v>
      </c>
      <c r="R206" s="270"/>
      <c r="S206" s="270"/>
      <c r="T206" s="270"/>
      <c r="U206" s="271"/>
      <c r="V206" s="280"/>
    </row>
    <row r="207" spans="1:22" ht="15" thickBot="1">
      <c r="A207" s="308">
        <v>1</v>
      </c>
      <c r="B207" s="309" t="s">
        <v>61</v>
      </c>
      <c r="C207" s="310">
        <v>2</v>
      </c>
      <c r="D207" s="362">
        <v>44160</v>
      </c>
      <c r="E207" s="311">
        <v>210</v>
      </c>
      <c r="F207" s="311">
        <v>57600</v>
      </c>
      <c r="G207" s="311">
        <v>6260</v>
      </c>
      <c r="H207" s="311">
        <v>2</v>
      </c>
      <c r="I207" s="311">
        <v>7.3</v>
      </c>
      <c r="J207" s="311">
        <v>137</v>
      </c>
      <c r="K207" s="311">
        <v>18.7</v>
      </c>
      <c r="L207" s="311">
        <v>63000</v>
      </c>
      <c r="M207" s="311">
        <v>1210</v>
      </c>
      <c r="N207" s="311">
        <v>194</v>
      </c>
      <c r="O207" s="311">
        <v>41900</v>
      </c>
      <c r="P207" s="311">
        <v>3730</v>
      </c>
      <c r="Q207" s="311">
        <f t="shared" si="6"/>
        <v>174269</v>
      </c>
      <c r="R207" s="295"/>
      <c r="S207" s="295"/>
      <c r="T207" s="295"/>
      <c r="U207" s="296"/>
      <c r="V207" s="280"/>
    </row>
    <row r="208" spans="1:22" ht="15" thickBot="1">
      <c r="A208" s="321"/>
      <c r="C208" s="322"/>
      <c r="E208" s="265"/>
      <c r="F208" s="265"/>
      <c r="G208" s="265"/>
      <c r="H208" s="265"/>
      <c r="I208" s="265"/>
      <c r="J208" s="265"/>
      <c r="K208" s="265"/>
      <c r="L208" s="265"/>
      <c r="M208" s="265"/>
      <c r="N208" s="265"/>
      <c r="O208" s="265"/>
      <c r="P208" s="265"/>
      <c r="Q208" s="265"/>
      <c r="R208" s="280"/>
      <c r="S208" s="280"/>
      <c r="T208" s="280"/>
      <c r="U208" s="280"/>
      <c r="V208" s="280"/>
    </row>
    <row r="209" spans="1:22" ht="15" thickBot="1">
      <c r="A209" s="313">
        <v>2</v>
      </c>
      <c r="B209" s="314" t="s">
        <v>61</v>
      </c>
      <c r="C209" s="315">
        <v>3</v>
      </c>
      <c r="D209" s="363">
        <v>44159</v>
      </c>
      <c r="E209" s="316">
        <v>138</v>
      </c>
      <c r="F209" s="323">
        <v>41900</v>
      </c>
      <c r="G209" s="316">
        <v>1640</v>
      </c>
      <c r="H209" s="316" t="s">
        <v>46</v>
      </c>
      <c r="I209" s="316">
        <v>0.7</v>
      </c>
      <c r="J209" s="316">
        <v>6</v>
      </c>
      <c r="K209" s="316" t="s">
        <v>46</v>
      </c>
      <c r="L209" s="316">
        <v>7370</v>
      </c>
      <c r="M209" s="316">
        <v>42.7</v>
      </c>
      <c r="N209" s="316">
        <v>110</v>
      </c>
      <c r="O209" s="316">
        <v>5770</v>
      </c>
      <c r="P209" s="324">
        <v>2800</v>
      </c>
      <c r="Q209" s="324">
        <f>SUM(E209:P209)</f>
        <v>59777.399999999994</v>
      </c>
      <c r="R209" s="319"/>
      <c r="S209" s="319"/>
      <c r="T209" s="319"/>
      <c r="U209" s="320"/>
      <c r="V209" s="280"/>
    </row>
    <row r="210" spans="1:22" ht="15" thickBot="1">
      <c r="A210" s="321"/>
      <c r="C210" s="322"/>
      <c r="E210" s="265"/>
      <c r="F210" s="265"/>
      <c r="G210" s="265"/>
      <c r="H210" s="265"/>
      <c r="I210" s="265"/>
      <c r="J210" s="265"/>
      <c r="K210" s="265"/>
      <c r="L210" s="265"/>
      <c r="M210" s="265"/>
      <c r="N210" s="265"/>
      <c r="O210" s="265"/>
      <c r="P210" s="265"/>
      <c r="Q210" s="265"/>
      <c r="R210" s="280"/>
      <c r="S210" s="280"/>
      <c r="T210" s="280"/>
      <c r="U210" s="280"/>
      <c r="V210" s="280"/>
    </row>
    <row r="211" spans="1:22">
      <c r="A211" s="129">
        <v>2</v>
      </c>
      <c r="B211" s="8" t="s">
        <v>61</v>
      </c>
      <c r="C211" s="130">
        <v>4</v>
      </c>
      <c r="D211" s="10">
        <v>46085</v>
      </c>
      <c r="E211" s="263">
        <v>14.7</v>
      </c>
      <c r="F211" s="263">
        <v>41000</v>
      </c>
      <c r="G211" s="263">
        <v>4120</v>
      </c>
      <c r="H211" s="285" t="s">
        <v>46</v>
      </c>
      <c r="I211" s="263">
        <v>7.8</v>
      </c>
      <c r="J211" s="263">
        <v>203</v>
      </c>
      <c r="K211" s="285">
        <v>28.5</v>
      </c>
      <c r="L211" s="263">
        <v>105000</v>
      </c>
      <c r="M211" s="263">
        <v>8410</v>
      </c>
      <c r="N211" s="263">
        <v>86</v>
      </c>
      <c r="O211" s="263">
        <v>292000</v>
      </c>
      <c r="P211" s="263">
        <v>86.4</v>
      </c>
      <c r="Q211" s="273">
        <f t="shared" ref="Q211:Q220" si="7">SUM(E211:P211)</f>
        <v>450956.4</v>
      </c>
      <c r="R211" s="285"/>
      <c r="S211" s="285"/>
      <c r="T211" s="285" t="s">
        <v>101</v>
      </c>
      <c r="U211" s="286"/>
      <c r="V211" s="280"/>
    </row>
    <row r="212" spans="1:22">
      <c r="A212" s="135">
        <v>2</v>
      </c>
      <c r="B212" s="12" t="s">
        <v>61</v>
      </c>
      <c r="C212" s="99">
        <v>4</v>
      </c>
      <c r="D212" s="14">
        <v>46056</v>
      </c>
      <c r="E212" s="273">
        <v>52.1</v>
      </c>
      <c r="F212" s="273">
        <v>81600</v>
      </c>
      <c r="G212" s="273">
        <v>9210</v>
      </c>
      <c r="H212" s="270">
        <v>3.4</v>
      </c>
      <c r="I212" s="273">
        <v>17.899999999999999</v>
      </c>
      <c r="J212" s="273">
        <v>267</v>
      </c>
      <c r="K212" s="270">
        <v>58.5</v>
      </c>
      <c r="L212" s="273">
        <v>182000</v>
      </c>
      <c r="M212" s="273">
        <v>10300</v>
      </c>
      <c r="N212" s="273">
        <v>352</v>
      </c>
      <c r="O212" s="273">
        <v>261000</v>
      </c>
      <c r="P212" s="273">
        <v>355</v>
      </c>
      <c r="Q212" s="273">
        <f t="shared" si="7"/>
        <v>545215.9</v>
      </c>
      <c r="R212" s="270"/>
      <c r="S212" s="270"/>
      <c r="T212" s="270"/>
      <c r="U212" s="271"/>
      <c r="V212" s="280"/>
    </row>
    <row r="213" spans="1:22">
      <c r="A213" s="135">
        <v>2</v>
      </c>
      <c r="B213" s="12" t="s">
        <v>61</v>
      </c>
      <c r="C213" s="99">
        <v>4</v>
      </c>
      <c r="D213" s="14">
        <v>46028</v>
      </c>
      <c r="E213" s="273">
        <v>71.599999999999994</v>
      </c>
      <c r="F213" s="273">
        <v>73700</v>
      </c>
      <c r="G213" s="273">
        <v>12100</v>
      </c>
      <c r="H213" s="270">
        <v>2.5</v>
      </c>
      <c r="I213" s="273">
        <v>16.7</v>
      </c>
      <c r="J213" s="273">
        <v>259</v>
      </c>
      <c r="K213" s="270">
        <v>41.6</v>
      </c>
      <c r="L213" s="273">
        <v>691000</v>
      </c>
      <c r="M213" s="273">
        <v>11900</v>
      </c>
      <c r="N213" s="273">
        <v>965</v>
      </c>
      <c r="O213" s="273">
        <v>323000</v>
      </c>
      <c r="P213" s="273">
        <v>698</v>
      </c>
      <c r="Q213" s="273">
        <f t="shared" si="7"/>
        <v>1113754.3999999999</v>
      </c>
      <c r="R213" s="270"/>
      <c r="S213" s="270"/>
      <c r="T213" s="270"/>
      <c r="U213" s="271"/>
      <c r="V213" s="280"/>
    </row>
    <row r="214" spans="1:22">
      <c r="A214" s="135">
        <v>2</v>
      </c>
      <c r="B214" s="12" t="s">
        <v>61</v>
      </c>
      <c r="C214" s="99">
        <v>4</v>
      </c>
      <c r="D214" s="14">
        <v>45992</v>
      </c>
      <c r="E214" s="273">
        <v>86.9</v>
      </c>
      <c r="F214" s="273">
        <v>76700</v>
      </c>
      <c r="G214" s="273">
        <v>14400</v>
      </c>
      <c r="H214" s="270">
        <v>3.2</v>
      </c>
      <c r="I214" s="273">
        <v>20.9</v>
      </c>
      <c r="J214" s="273">
        <v>311</v>
      </c>
      <c r="K214" s="270">
        <v>56.9</v>
      </c>
      <c r="L214" s="273">
        <v>557000</v>
      </c>
      <c r="M214" s="273">
        <v>9030</v>
      </c>
      <c r="N214" s="273">
        <v>779</v>
      </c>
      <c r="O214" s="273">
        <v>267000</v>
      </c>
      <c r="P214" s="273">
        <v>805</v>
      </c>
      <c r="Q214" s="273">
        <f t="shared" si="7"/>
        <v>926192.9</v>
      </c>
      <c r="R214" s="270"/>
      <c r="S214" s="270"/>
      <c r="T214" s="270"/>
      <c r="U214" s="271"/>
      <c r="V214" s="280"/>
    </row>
    <row r="215" spans="1:22">
      <c r="A215" s="135">
        <v>2</v>
      </c>
      <c r="B215" s="12" t="s">
        <v>61</v>
      </c>
      <c r="C215" s="99">
        <v>4</v>
      </c>
      <c r="D215" s="14">
        <v>45971</v>
      </c>
      <c r="E215" s="273">
        <v>80.900000000000006</v>
      </c>
      <c r="F215" s="273">
        <v>66000</v>
      </c>
      <c r="G215" s="273">
        <v>12100</v>
      </c>
      <c r="H215" s="270">
        <v>2.4</v>
      </c>
      <c r="I215" s="273">
        <v>17.399999999999999</v>
      </c>
      <c r="J215" s="273">
        <v>294</v>
      </c>
      <c r="K215" s="270">
        <v>44.1</v>
      </c>
      <c r="L215" s="273">
        <v>500000</v>
      </c>
      <c r="M215" s="273">
        <v>10200</v>
      </c>
      <c r="N215" s="273">
        <v>779</v>
      </c>
      <c r="O215" s="273">
        <v>204000</v>
      </c>
      <c r="P215" s="273">
        <v>598</v>
      </c>
      <c r="Q215" s="273">
        <f t="shared" si="7"/>
        <v>794115.8</v>
      </c>
      <c r="R215" s="270" t="s">
        <v>36</v>
      </c>
      <c r="S215" s="270" t="s">
        <v>50</v>
      </c>
      <c r="T215" s="270" t="s">
        <v>101</v>
      </c>
      <c r="U215" s="271"/>
      <c r="V215" s="280"/>
    </row>
    <row r="216" spans="1:22">
      <c r="A216" s="135">
        <v>2</v>
      </c>
      <c r="B216" s="12" t="s">
        <v>61</v>
      </c>
      <c r="C216" s="99">
        <v>4</v>
      </c>
      <c r="D216" s="14">
        <v>45936</v>
      </c>
      <c r="E216" s="273">
        <v>206</v>
      </c>
      <c r="F216" s="273">
        <v>80800</v>
      </c>
      <c r="G216" s="273">
        <v>19100</v>
      </c>
      <c r="H216" s="270" t="s">
        <v>46</v>
      </c>
      <c r="I216" s="273">
        <v>26</v>
      </c>
      <c r="J216" s="273">
        <v>372</v>
      </c>
      <c r="K216" s="270">
        <v>66</v>
      </c>
      <c r="L216" s="273">
        <v>768000</v>
      </c>
      <c r="M216" s="273">
        <v>14900</v>
      </c>
      <c r="N216" s="273">
        <v>3930</v>
      </c>
      <c r="O216" s="273">
        <v>390000</v>
      </c>
      <c r="P216" s="273">
        <v>1440</v>
      </c>
      <c r="Q216" s="273">
        <f t="shared" si="7"/>
        <v>1278840</v>
      </c>
      <c r="R216" s="270"/>
      <c r="S216" s="270"/>
      <c r="T216" s="270"/>
      <c r="U216" s="271"/>
      <c r="V216" s="280"/>
    </row>
    <row r="217" spans="1:22">
      <c r="A217" s="135">
        <v>2</v>
      </c>
      <c r="B217" s="12" t="s">
        <v>61</v>
      </c>
      <c r="C217" s="99">
        <v>4</v>
      </c>
      <c r="D217" s="14">
        <v>45670</v>
      </c>
      <c r="E217" s="273">
        <v>187</v>
      </c>
      <c r="F217" s="273">
        <v>141000</v>
      </c>
      <c r="G217" s="273">
        <v>29100</v>
      </c>
      <c r="H217" s="270">
        <v>2</v>
      </c>
      <c r="I217" s="273">
        <v>23.3</v>
      </c>
      <c r="J217" s="273">
        <v>502</v>
      </c>
      <c r="K217" s="270">
        <v>72.400000000000006</v>
      </c>
      <c r="L217" s="273">
        <v>692000</v>
      </c>
      <c r="M217" s="273">
        <v>11800</v>
      </c>
      <c r="N217" s="273">
        <v>3460</v>
      </c>
      <c r="O217" s="273">
        <v>348000</v>
      </c>
      <c r="P217" s="273">
        <v>1880</v>
      </c>
      <c r="Q217" s="273">
        <f t="shared" si="7"/>
        <v>1228026.7</v>
      </c>
      <c r="R217" s="270"/>
      <c r="S217" s="270"/>
      <c r="T217" s="270"/>
      <c r="U217" s="271"/>
      <c r="V217" s="280"/>
    </row>
    <row r="218" spans="1:22">
      <c r="A218" s="135">
        <v>2</v>
      </c>
      <c r="B218" s="12" t="s">
        <v>61</v>
      </c>
      <c r="C218" s="99">
        <v>4</v>
      </c>
      <c r="D218" s="14">
        <v>45644</v>
      </c>
      <c r="E218" s="273">
        <v>204</v>
      </c>
      <c r="F218" s="273">
        <v>104000</v>
      </c>
      <c r="G218" s="273">
        <v>25300</v>
      </c>
      <c r="H218" s="270">
        <v>3.6</v>
      </c>
      <c r="I218" s="273">
        <v>27.4</v>
      </c>
      <c r="J218" s="273">
        <v>439</v>
      </c>
      <c r="K218" s="270">
        <v>81.400000000000006</v>
      </c>
      <c r="L218" s="273">
        <v>987000</v>
      </c>
      <c r="M218" s="273">
        <v>7030</v>
      </c>
      <c r="N218" s="273">
        <v>1290</v>
      </c>
      <c r="O218" s="273">
        <v>280000</v>
      </c>
      <c r="P218" s="273">
        <v>1270</v>
      </c>
      <c r="Q218" s="273">
        <f t="shared" si="7"/>
        <v>1406645.4</v>
      </c>
      <c r="R218" s="270"/>
      <c r="S218" s="270"/>
      <c r="T218" s="270">
        <v>130</v>
      </c>
      <c r="U218" s="271">
        <v>110</v>
      </c>
      <c r="V218" s="280"/>
    </row>
    <row r="219" spans="1:22">
      <c r="A219" s="135">
        <v>2</v>
      </c>
      <c r="B219" s="12" t="s">
        <v>61</v>
      </c>
      <c r="C219" s="99">
        <v>4</v>
      </c>
      <c r="D219" s="14">
        <v>45616</v>
      </c>
      <c r="E219" s="273">
        <v>289</v>
      </c>
      <c r="F219" s="273">
        <v>149000</v>
      </c>
      <c r="G219" s="273">
        <v>37300</v>
      </c>
      <c r="H219" s="270">
        <v>5.3</v>
      </c>
      <c r="I219" s="273">
        <v>39.5</v>
      </c>
      <c r="J219" s="273">
        <v>481</v>
      </c>
      <c r="K219" s="270">
        <v>113</v>
      </c>
      <c r="L219" s="273">
        <v>770000</v>
      </c>
      <c r="M219" s="273">
        <v>13300</v>
      </c>
      <c r="N219" s="273">
        <v>564</v>
      </c>
      <c r="O219" s="273">
        <v>495000</v>
      </c>
      <c r="P219" s="273">
        <v>2070</v>
      </c>
      <c r="Q219" s="273">
        <f t="shared" si="7"/>
        <v>1468161.8</v>
      </c>
      <c r="R219" s="270"/>
      <c r="S219" s="270"/>
      <c r="T219" s="270">
        <v>170</v>
      </c>
      <c r="U219" s="271" t="s">
        <v>101</v>
      </c>
      <c r="V219" s="280"/>
    </row>
    <row r="220" spans="1:22">
      <c r="A220" s="135">
        <v>2</v>
      </c>
      <c r="B220" s="12" t="s">
        <v>61</v>
      </c>
      <c r="C220" s="99">
        <v>4</v>
      </c>
      <c r="D220" s="14">
        <v>45006</v>
      </c>
      <c r="E220" s="273">
        <v>257</v>
      </c>
      <c r="F220" s="273">
        <v>114000</v>
      </c>
      <c r="G220" s="273">
        <v>31100</v>
      </c>
      <c r="H220" s="270">
        <v>4.8</v>
      </c>
      <c r="I220" s="273">
        <v>33.1</v>
      </c>
      <c r="J220" s="273">
        <v>540</v>
      </c>
      <c r="K220" s="270">
        <v>76.400000000000006</v>
      </c>
      <c r="L220" s="273">
        <v>1030000</v>
      </c>
      <c r="M220" s="273">
        <v>9790</v>
      </c>
      <c r="N220" s="273">
        <v>1680</v>
      </c>
      <c r="O220" s="273">
        <v>208000</v>
      </c>
      <c r="P220" s="273">
        <v>2060</v>
      </c>
      <c r="Q220" s="273">
        <f t="shared" si="7"/>
        <v>1397541.3</v>
      </c>
      <c r="R220" s="270"/>
      <c r="S220" s="270"/>
      <c r="T220" s="270">
        <v>240</v>
      </c>
      <c r="U220" s="271" t="s">
        <v>101</v>
      </c>
      <c r="V220" s="280"/>
    </row>
    <row r="221" spans="1:22">
      <c r="A221" s="135">
        <v>2</v>
      </c>
      <c r="B221" s="12" t="s">
        <v>61</v>
      </c>
      <c r="C221" s="99">
        <v>4</v>
      </c>
      <c r="D221" s="14">
        <v>44852</v>
      </c>
      <c r="E221" s="273">
        <v>142</v>
      </c>
      <c r="F221" s="273">
        <v>128000</v>
      </c>
      <c r="G221" s="273">
        <v>23900</v>
      </c>
      <c r="H221" s="270">
        <v>2.2000000000000002</v>
      </c>
      <c r="I221" s="273">
        <v>24.8</v>
      </c>
      <c r="J221" s="273">
        <v>518</v>
      </c>
      <c r="K221" s="270">
        <v>61.9</v>
      </c>
      <c r="L221" s="273">
        <v>366000</v>
      </c>
      <c r="M221" s="273">
        <v>11800</v>
      </c>
      <c r="N221" s="273">
        <v>269</v>
      </c>
      <c r="O221" s="273">
        <v>266000</v>
      </c>
      <c r="P221" s="273">
        <v>2230</v>
      </c>
      <c r="Q221" s="273">
        <f>SUM(E221:P221)</f>
        <v>798947.9</v>
      </c>
      <c r="R221" s="270"/>
      <c r="S221" s="270"/>
      <c r="T221" s="270">
        <v>160</v>
      </c>
      <c r="U221" s="271" t="s">
        <v>101</v>
      </c>
      <c r="V221" s="280">
        <v>3000</v>
      </c>
    </row>
    <row r="222" spans="1:22">
      <c r="A222" s="135">
        <v>2</v>
      </c>
      <c r="B222" s="12" t="s">
        <v>61</v>
      </c>
      <c r="C222" s="99">
        <v>4</v>
      </c>
      <c r="D222" s="14">
        <v>44637</v>
      </c>
      <c r="E222" s="273">
        <v>289</v>
      </c>
      <c r="F222" s="273">
        <v>200000</v>
      </c>
      <c r="G222" s="273">
        <v>41600</v>
      </c>
      <c r="H222" s="270">
        <v>4.8</v>
      </c>
      <c r="I222" s="273">
        <v>45.6</v>
      </c>
      <c r="J222" s="273">
        <v>849</v>
      </c>
      <c r="K222" s="270">
        <v>109</v>
      </c>
      <c r="L222" s="273">
        <v>695000</v>
      </c>
      <c r="M222" s="273">
        <v>15900</v>
      </c>
      <c r="N222" s="273">
        <v>804</v>
      </c>
      <c r="O222" s="273">
        <v>426000</v>
      </c>
      <c r="P222" s="273">
        <v>1580</v>
      </c>
      <c r="Q222" s="273">
        <f>SUM(E222:P222)</f>
        <v>1382181.4</v>
      </c>
      <c r="R222" s="270"/>
      <c r="S222" s="270"/>
      <c r="T222" s="270"/>
      <c r="U222" s="271"/>
      <c r="V222" s="280"/>
    </row>
    <row r="223" spans="1:22">
      <c r="A223" s="287">
        <v>2</v>
      </c>
      <c r="B223" s="288" t="s">
        <v>61</v>
      </c>
      <c r="C223" s="289">
        <v>4</v>
      </c>
      <c r="D223" s="359">
        <v>44249</v>
      </c>
      <c r="E223" s="290">
        <v>216</v>
      </c>
      <c r="F223" s="290">
        <v>141000</v>
      </c>
      <c r="G223" s="290">
        <v>37600</v>
      </c>
      <c r="H223" s="290">
        <v>4.3</v>
      </c>
      <c r="I223" s="290">
        <v>34.9</v>
      </c>
      <c r="J223" s="290">
        <v>835</v>
      </c>
      <c r="K223" s="290">
        <v>92.2</v>
      </c>
      <c r="L223" s="290">
        <v>676000</v>
      </c>
      <c r="M223" s="290">
        <v>9680</v>
      </c>
      <c r="N223" s="290">
        <v>1210</v>
      </c>
      <c r="O223" s="290">
        <v>241000</v>
      </c>
      <c r="P223" s="290">
        <v>1380</v>
      </c>
      <c r="Q223" s="290">
        <f>SUM(E223:P223)</f>
        <v>1109052.3999999999</v>
      </c>
      <c r="R223" s="270"/>
      <c r="S223" s="270"/>
      <c r="T223" s="270"/>
      <c r="U223" s="271"/>
      <c r="V223" s="280"/>
    </row>
    <row r="224" spans="1:22">
      <c r="A224" s="287">
        <v>2</v>
      </c>
      <c r="B224" s="288" t="s">
        <v>61</v>
      </c>
      <c r="C224" s="289">
        <v>4</v>
      </c>
      <c r="D224" s="359">
        <v>44224</v>
      </c>
      <c r="E224" s="290">
        <v>221</v>
      </c>
      <c r="F224" s="290">
        <v>114000</v>
      </c>
      <c r="G224" s="290">
        <v>32700</v>
      </c>
      <c r="H224" s="290">
        <v>5.6</v>
      </c>
      <c r="I224" s="290">
        <v>39.200000000000003</v>
      </c>
      <c r="J224" s="290">
        <v>924</v>
      </c>
      <c r="K224" s="290">
        <v>107</v>
      </c>
      <c r="L224" s="290">
        <v>333000</v>
      </c>
      <c r="M224" s="290">
        <v>11400</v>
      </c>
      <c r="N224" s="290">
        <v>337</v>
      </c>
      <c r="O224" s="290">
        <v>309000</v>
      </c>
      <c r="P224" s="290">
        <v>1050</v>
      </c>
      <c r="Q224" s="290">
        <f>SUM(E224:P224)</f>
        <v>802783.8</v>
      </c>
      <c r="R224" s="270"/>
      <c r="S224" s="270"/>
      <c r="T224" s="270"/>
      <c r="U224" s="271"/>
      <c r="V224" s="280"/>
    </row>
    <row r="225" spans="1:22" ht="15" thickBot="1">
      <c r="A225" s="308">
        <v>2</v>
      </c>
      <c r="B225" s="309" t="s">
        <v>61</v>
      </c>
      <c r="C225" s="310">
        <v>4</v>
      </c>
      <c r="D225" s="362">
        <v>44168</v>
      </c>
      <c r="E225" s="311">
        <v>271</v>
      </c>
      <c r="F225" s="311">
        <v>137000</v>
      </c>
      <c r="G225" s="311">
        <v>32500</v>
      </c>
      <c r="H225" s="311">
        <v>7.8</v>
      </c>
      <c r="I225" s="311">
        <v>48.9</v>
      </c>
      <c r="J225" s="311">
        <v>1170</v>
      </c>
      <c r="K225" s="311">
        <v>153</v>
      </c>
      <c r="L225" s="311">
        <v>523000</v>
      </c>
      <c r="M225" s="311">
        <v>10800</v>
      </c>
      <c r="N225" s="311">
        <v>654</v>
      </c>
      <c r="O225" s="311">
        <v>300000</v>
      </c>
      <c r="P225" s="311">
        <v>1480</v>
      </c>
      <c r="Q225" s="311">
        <f>SUM(E225:P225)</f>
        <v>1007084.7</v>
      </c>
      <c r="R225" s="295"/>
      <c r="S225" s="295"/>
      <c r="T225" s="295"/>
      <c r="U225" s="296"/>
      <c r="V225" s="280"/>
    </row>
    <row r="226" spans="1:22" ht="15" thickBot="1">
      <c r="A226" s="321"/>
      <c r="C226" s="322"/>
      <c r="E226" s="265"/>
      <c r="F226" s="265"/>
      <c r="G226" s="265"/>
      <c r="H226" s="265"/>
      <c r="I226" s="265"/>
      <c r="J226" s="265"/>
      <c r="K226" s="265"/>
      <c r="L226" s="265"/>
      <c r="M226" s="265"/>
      <c r="N226" s="265"/>
      <c r="O226" s="265"/>
      <c r="P226" s="265"/>
      <c r="Q226" s="265"/>
      <c r="R226" s="280"/>
      <c r="S226" s="280"/>
      <c r="T226" s="280"/>
      <c r="U226" s="280"/>
      <c r="V226" s="280"/>
    </row>
    <row r="227" spans="1:22">
      <c r="A227" s="129">
        <v>3</v>
      </c>
      <c r="B227" s="8" t="s">
        <v>61</v>
      </c>
      <c r="C227" s="130">
        <v>5</v>
      </c>
      <c r="D227" s="10">
        <v>44637</v>
      </c>
      <c r="E227" s="263">
        <v>180</v>
      </c>
      <c r="F227" s="263">
        <v>105000</v>
      </c>
      <c r="G227" s="263">
        <v>21000</v>
      </c>
      <c r="H227" s="285">
        <v>6.7</v>
      </c>
      <c r="I227" s="263">
        <v>26.2</v>
      </c>
      <c r="J227" s="263">
        <v>461</v>
      </c>
      <c r="K227" s="285">
        <v>41</v>
      </c>
      <c r="L227" s="263">
        <v>578000</v>
      </c>
      <c r="M227" s="263">
        <v>9020</v>
      </c>
      <c r="N227" s="263">
        <v>191</v>
      </c>
      <c r="O227" s="263">
        <v>89300</v>
      </c>
      <c r="P227" s="263">
        <v>1240</v>
      </c>
      <c r="Q227" s="263">
        <f>SUM(E227:P227)</f>
        <v>804465.9</v>
      </c>
      <c r="R227" s="285"/>
      <c r="S227" s="263"/>
      <c r="T227" s="263"/>
      <c r="U227" s="264"/>
      <c r="V227" s="265"/>
    </row>
    <row r="228" spans="1:22" ht="15" thickBot="1">
      <c r="A228" s="308">
        <v>3</v>
      </c>
      <c r="B228" s="309" t="s">
        <v>61</v>
      </c>
      <c r="C228" s="310">
        <v>5</v>
      </c>
      <c r="D228" s="362">
        <v>44285</v>
      </c>
      <c r="E228" s="311">
        <v>324</v>
      </c>
      <c r="F228" s="317">
        <v>128000</v>
      </c>
      <c r="G228" s="311">
        <v>31200</v>
      </c>
      <c r="H228" s="311">
        <v>10.3</v>
      </c>
      <c r="I228" s="311">
        <v>40.9</v>
      </c>
      <c r="J228" s="311">
        <v>725</v>
      </c>
      <c r="K228" s="311">
        <v>61.7</v>
      </c>
      <c r="L228" s="311">
        <v>483000</v>
      </c>
      <c r="M228" s="311">
        <v>8510</v>
      </c>
      <c r="N228" s="311">
        <v>141</v>
      </c>
      <c r="O228" s="311">
        <v>99200</v>
      </c>
      <c r="P228" s="311">
        <v>1900</v>
      </c>
      <c r="Q228" s="311">
        <f>SUM(E228:P228)</f>
        <v>753112.9</v>
      </c>
      <c r="R228" s="295" t="s">
        <v>36</v>
      </c>
      <c r="S228" s="294">
        <v>620</v>
      </c>
      <c r="T228" s="294"/>
      <c r="U228" s="325"/>
      <c r="V228" s="265"/>
    </row>
    <row r="229" spans="1:22" ht="15" thickBot="1">
      <c r="A229" s="321"/>
      <c r="C229" s="322"/>
      <c r="E229" s="265"/>
      <c r="F229" s="265"/>
      <c r="G229" s="265"/>
      <c r="H229" s="280"/>
      <c r="I229" s="265"/>
      <c r="J229" s="265"/>
      <c r="K229" s="280"/>
      <c r="L229" s="265"/>
      <c r="M229" s="265"/>
      <c r="N229" s="265"/>
      <c r="O229" s="265"/>
      <c r="P229" s="265"/>
      <c r="Q229" s="265"/>
      <c r="R229" s="280"/>
      <c r="S229" s="280"/>
      <c r="T229" s="280"/>
      <c r="U229" s="280"/>
      <c r="V229" s="280"/>
    </row>
    <row r="230" spans="1:22">
      <c r="A230" s="326">
        <v>1</v>
      </c>
      <c r="B230" s="327" t="s">
        <v>64</v>
      </c>
      <c r="C230" s="328">
        <v>1</v>
      </c>
      <c r="D230" s="364">
        <v>45980</v>
      </c>
      <c r="E230" s="329">
        <v>21.8</v>
      </c>
      <c r="F230" s="329">
        <v>81300</v>
      </c>
      <c r="G230" s="329">
        <v>759</v>
      </c>
      <c r="H230" s="329" t="s">
        <v>46</v>
      </c>
      <c r="I230" s="329">
        <v>0.8</v>
      </c>
      <c r="J230" s="329">
        <v>7.9</v>
      </c>
      <c r="K230" s="329" t="s">
        <v>46</v>
      </c>
      <c r="L230" s="329">
        <v>147</v>
      </c>
      <c r="M230" s="329">
        <v>5.7</v>
      </c>
      <c r="N230" s="329">
        <v>7.5</v>
      </c>
      <c r="O230" s="329">
        <v>19.899999999999999</v>
      </c>
      <c r="P230" s="329">
        <v>7000</v>
      </c>
      <c r="Q230" s="329">
        <f t="shared" ref="Q230:Q235" si="8">SUM(E230:P230)</f>
        <v>89269.599999999991</v>
      </c>
      <c r="R230" s="285" t="s">
        <v>36</v>
      </c>
      <c r="S230" s="285">
        <v>805</v>
      </c>
      <c r="T230" s="285">
        <v>850</v>
      </c>
      <c r="U230" s="286"/>
      <c r="V230" s="280"/>
    </row>
    <row r="231" spans="1:22">
      <c r="A231" s="330">
        <v>1</v>
      </c>
      <c r="B231" s="331" t="s">
        <v>64</v>
      </c>
      <c r="C231" s="332">
        <v>1</v>
      </c>
      <c r="D231" s="365">
        <v>45811</v>
      </c>
      <c r="E231" s="317">
        <v>41.9</v>
      </c>
      <c r="F231" s="317">
        <v>46700</v>
      </c>
      <c r="G231" s="317">
        <v>1030</v>
      </c>
      <c r="H231" s="317" t="s">
        <v>46</v>
      </c>
      <c r="I231" s="317">
        <v>1.2</v>
      </c>
      <c r="J231" s="317">
        <v>9.6999999999999993</v>
      </c>
      <c r="K231" s="317" t="s">
        <v>46</v>
      </c>
      <c r="L231" s="317">
        <v>324</v>
      </c>
      <c r="M231" s="317">
        <v>8.6</v>
      </c>
      <c r="N231" s="317">
        <v>17.7</v>
      </c>
      <c r="O231" s="317">
        <v>78.900000000000006</v>
      </c>
      <c r="P231" s="317">
        <v>9200</v>
      </c>
      <c r="Q231" s="317">
        <f t="shared" si="8"/>
        <v>57411.999999999993</v>
      </c>
      <c r="R231" s="270"/>
      <c r="S231" s="270"/>
      <c r="T231" s="270"/>
      <c r="U231" s="271"/>
      <c r="V231" s="280"/>
    </row>
    <row r="232" spans="1:22">
      <c r="A232" s="330">
        <v>1</v>
      </c>
      <c r="B232" s="331" t="s">
        <v>64</v>
      </c>
      <c r="C232" s="332">
        <v>1</v>
      </c>
      <c r="D232" s="365">
        <v>45782</v>
      </c>
      <c r="E232" s="317">
        <v>49.4</v>
      </c>
      <c r="F232" s="317">
        <v>98000</v>
      </c>
      <c r="G232" s="317">
        <v>2560</v>
      </c>
      <c r="H232" s="317">
        <v>1.9</v>
      </c>
      <c r="I232" s="317">
        <v>1.3</v>
      </c>
      <c r="J232" s="317">
        <v>13.2</v>
      </c>
      <c r="K232" s="317" t="s">
        <v>46</v>
      </c>
      <c r="L232" s="317">
        <v>362</v>
      </c>
      <c r="M232" s="317">
        <v>8.1999999999999993</v>
      </c>
      <c r="N232" s="317">
        <v>16.899999999999999</v>
      </c>
      <c r="O232" s="317">
        <v>34.4</v>
      </c>
      <c r="P232" s="317">
        <v>13800</v>
      </c>
      <c r="Q232" s="317">
        <f t="shared" si="8"/>
        <v>114847.29999999997</v>
      </c>
      <c r="R232" s="270" t="s">
        <v>36</v>
      </c>
      <c r="S232" s="270">
        <v>894</v>
      </c>
      <c r="T232" s="270">
        <v>1110</v>
      </c>
      <c r="U232" s="271"/>
      <c r="V232" s="280" t="s">
        <v>46</v>
      </c>
    </row>
    <row r="233" spans="1:22">
      <c r="A233" s="330">
        <v>1</v>
      </c>
      <c r="B233" s="331" t="s">
        <v>64</v>
      </c>
      <c r="C233" s="332">
        <v>1</v>
      </c>
      <c r="D233" s="365">
        <v>45755</v>
      </c>
      <c r="E233" s="317">
        <v>45.4</v>
      </c>
      <c r="F233" s="317">
        <v>74800</v>
      </c>
      <c r="G233" s="317">
        <v>2250</v>
      </c>
      <c r="H233" s="317" t="s">
        <v>46</v>
      </c>
      <c r="I233" s="317">
        <v>1.2</v>
      </c>
      <c r="J233" s="317">
        <v>12.2</v>
      </c>
      <c r="K233" s="317" t="s">
        <v>46</v>
      </c>
      <c r="L233" s="317">
        <v>329</v>
      </c>
      <c r="M233" s="317">
        <v>5.8</v>
      </c>
      <c r="N233" s="317">
        <v>14.5</v>
      </c>
      <c r="O233" s="317">
        <v>35.799999999999997</v>
      </c>
      <c r="P233" s="317">
        <v>13000</v>
      </c>
      <c r="Q233" s="317">
        <f t="shared" si="8"/>
        <v>90493.9</v>
      </c>
      <c r="R233" s="270"/>
      <c r="S233" s="270"/>
      <c r="T233" s="270"/>
      <c r="U233" s="271"/>
      <c r="V233" s="280"/>
    </row>
    <row r="234" spans="1:22">
      <c r="A234" s="330">
        <v>1</v>
      </c>
      <c r="B234" s="331" t="s">
        <v>64</v>
      </c>
      <c r="C234" s="332">
        <v>1</v>
      </c>
      <c r="D234" s="365">
        <v>45727</v>
      </c>
      <c r="E234" s="317">
        <v>200</v>
      </c>
      <c r="F234" s="317">
        <v>172000</v>
      </c>
      <c r="G234" s="317">
        <v>3750</v>
      </c>
      <c r="H234" s="317" t="s">
        <v>46</v>
      </c>
      <c r="I234" s="317">
        <v>2.2000000000000002</v>
      </c>
      <c r="J234" s="317">
        <v>32.799999999999997</v>
      </c>
      <c r="K234" s="317" t="s">
        <v>46</v>
      </c>
      <c r="L234" s="317">
        <v>741</v>
      </c>
      <c r="M234" s="317">
        <v>20.100000000000001</v>
      </c>
      <c r="N234" s="317">
        <v>18.600000000000001</v>
      </c>
      <c r="O234" s="317">
        <v>57.5</v>
      </c>
      <c r="P234" s="317">
        <v>17600</v>
      </c>
      <c r="Q234" s="317">
        <f t="shared" si="8"/>
        <v>194422.2</v>
      </c>
      <c r="R234" s="270"/>
      <c r="S234" s="270"/>
      <c r="T234" s="270"/>
      <c r="U234" s="271"/>
      <c r="V234" s="280"/>
    </row>
    <row r="235" spans="1:22">
      <c r="A235" s="330">
        <v>1</v>
      </c>
      <c r="B235" s="331" t="s">
        <v>64</v>
      </c>
      <c r="C235" s="332">
        <v>1</v>
      </c>
      <c r="D235" s="365">
        <v>45706</v>
      </c>
      <c r="E235" s="317">
        <v>208</v>
      </c>
      <c r="F235" s="317">
        <v>140000</v>
      </c>
      <c r="G235" s="317">
        <v>3230</v>
      </c>
      <c r="H235" s="317">
        <v>3.1</v>
      </c>
      <c r="I235" s="317">
        <v>2</v>
      </c>
      <c r="J235" s="317">
        <v>25.1</v>
      </c>
      <c r="K235" s="317" t="s">
        <v>46</v>
      </c>
      <c r="L235" s="317">
        <v>312</v>
      </c>
      <c r="M235" s="317">
        <v>8.6999999999999993</v>
      </c>
      <c r="N235" s="317">
        <v>13.3</v>
      </c>
      <c r="O235" s="317">
        <v>33.1</v>
      </c>
      <c r="P235" s="317">
        <v>16300</v>
      </c>
      <c r="Q235" s="317">
        <f t="shared" si="8"/>
        <v>160135.30000000002</v>
      </c>
      <c r="R235" s="270"/>
      <c r="S235" s="270"/>
      <c r="T235" s="270" t="s">
        <v>101</v>
      </c>
      <c r="U235" s="271"/>
      <c r="V235" s="280"/>
    </row>
    <row r="236" spans="1:22" ht="15" thickBot="1">
      <c r="A236" s="308">
        <v>1</v>
      </c>
      <c r="B236" s="309" t="s">
        <v>64</v>
      </c>
      <c r="C236" s="310">
        <v>1</v>
      </c>
      <c r="D236" s="362">
        <v>44159</v>
      </c>
      <c r="E236" s="311">
        <v>1.9</v>
      </c>
      <c r="F236" s="311">
        <v>677</v>
      </c>
      <c r="G236" s="311">
        <v>17.100000000000001</v>
      </c>
      <c r="H236" s="311" t="s">
        <v>46</v>
      </c>
      <c r="I236" s="311" t="s">
        <v>36</v>
      </c>
      <c r="J236" s="311">
        <v>3.7</v>
      </c>
      <c r="K236" s="311" t="s">
        <v>46</v>
      </c>
      <c r="L236" s="311">
        <v>40.200000000000003</v>
      </c>
      <c r="M236" s="311">
        <v>1.9</v>
      </c>
      <c r="N236" s="311" t="s">
        <v>46</v>
      </c>
      <c r="O236" s="311">
        <v>10.8</v>
      </c>
      <c r="P236" s="311">
        <v>124</v>
      </c>
      <c r="Q236" s="311">
        <f>SUM(E236:P236)</f>
        <v>876.6</v>
      </c>
      <c r="R236" s="295"/>
      <c r="S236" s="295"/>
      <c r="T236" s="295"/>
      <c r="U236" s="296"/>
      <c r="V236" s="280"/>
    </row>
    <row r="237" spans="1:22" ht="15" thickBot="1">
      <c r="A237" s="321"/>
      <c r="C237" s="322"/>
      <c r="E237" s="265"/>
      <c r="F237" s="265"/>
      <c r="G237" s="265"/>
      <c r="H237" s="265"/>
      <c r="I237" s="265"/>
      <c r="J237" s="265"/>
      <c r="K237" s="265"/>
      <c r="L237" s="265"/>
      <c r="M237" s="265"/>
      <c r="N237" s="265"/>
      <c r="O237" s="265"/>
      <c r="P237" s="265"/>
      <c r="Q237" s="333"/>
      <c r="R237" s="280"/>
      <c r="S237" s="280"/>
      <c r="T237" s="280"/>
      <c r="U237" s="280"/>
      <c r="V237" s="280"/>
    </row>
    <row r="238" spans="1:22">
      <c r="A238" s="281">
        <v>1</v>
      </c>
      <c r="B238" s="282" t="s">
        <v>64</v>
      </c>
      <c r="C238" s="283">
        <v>2</v>
      </c>
      <c r="D238" s="358">
        <v>46085</v>
      </c>
      <c r="E238" s="284">
        <v>37.700000000000003</v>
      </c>
      <c r="F238" s="284">
        <v>11300</v>
      </c>
      <c r="G238" s="284">
        <v>705</v>
      </c>
      <c r="H238" s="284" t="s">
        <v>46</v>
      </c>
      <c r="I238" s="284">
        <v>1.7</v>
      </c>
      <c r="J238" s="284">
        <v>7.3</v>
      </c>
      <c r="K238" s="284" t="s">
        <v>46</v>
      </c>
      <c r="L238" s="284">
        <v>12.7</v>
      </c>
      <c r="M238" s="284">
        <v>5.6</v>
      </c>
      <c r="N238" s="284">
        <v>6.5</v>
      </c>
      <c r="O238" s="284">
        <v>76.099999999999994</v>
      </c>
      <c r="P238" s="284">
        <v>7530</v>
      </c>
      <c r="Q238" s="284">
        <f t="shared" ref="Q238:Q296" si="9">SUM(E238:P238)</f>
        <v>19682.600000000002</v>
      </c>
      <c r="R238" s="285"/>
      <c r="S238" s="285"/>
      <c r="T238" s="285">
        <v>26000</v>
      </c>
      <c r="U238" s="286"/>
      <c r="V238" s="280"/>
    </row>
    <row r="239" spans="1:22">
      <c r="A239" s="287">
        <v>1</v>
      </c>
      <c r="B239" s="288" t="s">
        <v>64</v>
      </c>
      <c r="C239" s="289">
        <v>2</v>
      </c>
      <c r="D239" s="359">
        <v>46056</v>
      </c>
      <c r="E239" s="290">
        <v>54.3</v>
      </c>
      <c r="F239" s="290">
        <v>20000</v>
      </c>
      <c r="G239" s="290">
        <v>829</v>
      </c>
      <c r="H239" s="290">
        <v>1.2</v>
      </c>
      <c r="I239" s="290">
        <v>1.9</v>
      </c>
      <c r="J239" s="290">
        <v>8.1</v>
      </c>
      <c r="K239" s="290" t="s">
        <v>46</v>
      </c>
      <c r="L239" s="290">
        <v>14.7</v>
      </c>
      <c r="M239" s="290">
        <v>5.6</v>
      </c>
      <c r="N239" s="290">
        <v>4.5999999999999996</v>
      </c>
      <c r="O239" s="290">
        <v>92</v>
      </c>
      <c r="P239" s="290">
        <v>6160</v>
      </c>
      <c r="Q239" s="290">
        <f t="shared" si="9"/>
        <v>27171.399999999998</v>
      </c>
      <c r="R239" s="270"/>
      <c r="S239" s="270"/>
      <c r="T239" s="270"/>
      <c r="U239" s="271"/>
      <c r="V239" s="280"/>
    </row>
    <row r="240" spans="1:22">
      <c r="A240" s="287">
        <v>1</v>
      </c>
      <c r="B240" s="288" t="s">
        <v>64</v>
      </c>
      <c r="C240" s="289">
        <v>2</v>
      </c>
      <c r="D240" s="359">
        <v>46028</v>
      </c>
      <c r="E240" s="290">
        <v>39</v>
      </c>
      <c r="F240" s="290">
        <v>17400</v>
      </c>
      <c r="G240" s="290">
        <v>618</v>
      </c>
      <c r="H240" s="290" t="s">
        <v>46</v>
      </c>
      <c r="I240" s="290">
        <v>1.2</v>
      </c>
      <c r="J240" s="290">
        <v>7.4</v>
      </c>
      <c r="K240" s="290" t="s">
        <v>46</v>
      </c>
      <c r="L240" s="290">
        <v>107</v>
      </c>
      <c r="M240" s="290">
        <v>8.6999999999999993</v>
      </c>
      <c r="N240" s="290">
        <v>5.8</v>
      </c>
      <c r="O240" s="290">
        <v>145</v>
      </c>
      <c r="P240" s="290">
        <v>7700</v>
      </c>
      <c r="Q240" s="290">
        <f t="shared" si="9"/>
        <v>26032.100000000002</v>
      </c>
      <c r="R240" s="270"/>
      <c r="S240" s="270"/>
      <c r="T240" s="270"/>
      <c r="U240" s="271"/>
      <c r="V240" s="280"/>
    </row>
    <row r="241" spans="1:22">
      <c r="A241" s="287">
        <v>1</v>
      </c>
      <c r="B241" s="288" t="s">
        <v>64</v>
      </c>
      <c r="C241" s="289">
        <v>2</v>
      </c>
      <c r="D241" s="359">
        <v>45992</v>
      </c>
      <c r="E241" s="290">
        <v>28.9</v>
      </c>
      <c r="F241" s="290">
        <v>15600</v>
      </c>
      <c r="G241" s="290">
        <v>738</v>
      </c>
      <c r="H241" s="290" t="s">
        <v>46</v>
      </c>
      <c r="I241" s="290">
        <v>1.4</v>
      </c>
      <c r="J241" s="290">
        <v>7.8</v>
      </c>
      <c r="K241" s="290" t="s">
        <v>46</v>
      </c>
      <c r="L241" s="290">
        <v>2380</v>
      </c>
      <c r="M241" s="290">
        <v>20.5</v>
      </c>
      <c r="N241" s="290">
        <v>12.9</v>
      </c>
      <c r="O241" s="290">
        <v>714</v>
      </c>
      <c r="P241" s="290">
        <v>10200</v>
      </c>
      <c r="Q241" s="290">
        <f t="shared" si="9"/>
        <v>29703.5</v>
      </c>
      <c r="R241" s="270"/>
      <c r="S241" s="270"/>
      <c r="T241" s="270"/>
      <c r="U241" s="271"/>
      <c r="V241" s="280"/>
    </row>
    <row r="242" spans="1:22">
      <c r="A242" s="287">
        <v>1</v>
      </c>
      <c r="B242" s="288" t="s">
        <v>64</v>
      </c>
      <c r="C242" s="289">
        <v>2</v>
      </c>
      <c r="D242" s="359">
        <v>45971</v>
      </c>
      <c r="E242" s="290">
        <v>8</v>
      </c>
      <c r="F242" s="290">
        <v>23100</v>
      </c>
      <c r="G242" s="290">
        <v>609</v>
      </c>
      <c r="H242" s="290" t="s">
        <v>46</v>
      </c>
      <c r="I242" s="290">
        <v>0.9</v>
      </c>
      <c r="J242" s="290">
        <v>5.2</v>
      </c>
      <c r="K242" s="290" t="s">
        <v>46</v>
      </c>
      <c r="L242" s="290">
        <v>319</v>
      </c>
      <c r="M242" s="290">
        <v>7.1</v>
      </c>
      <c r="N242" s="290">
        <v>10.4</v>
      </c>
      <c r="O242" s="290">
        <v>75.2</v>
      </c>
      <c r="P242" s="290">
        <v>7570</v>
      </c>
      <c r="Q242" s="290">
        <f t="shared" si="9"/>
        <v>31704.800000000003</v>
      </c>
      <c r="R242" s="270" t="s">
        <v>36</v>
      </c>
      <c r="S242" s="270">
        <v>1540</v>
      </c>
      <c r="T242" s="270">
        <v>12500</v>
      </c>
      <c r="U242" s="271"/>
      <c r="V242" s="280"/>
    </row>
    <row r="243" spans="1:22">
      <c r="A243" s="287">
        <v>1</v>
      </c>
      <c r="B243" s="288" t="s">
        <v>64</v>
      </c>
      <c r="C243" s="289">
        <v>2</v>
      </c>
      <c r="D243" s="359">
        <v>45936</v>
      </c>
      <c r="E243" s="290">
        <v>9.3000000000000007</v>
      </c>
      <c r="F243" s="290">
        <v>25900</v>
      </c>
      <c r="G243" s="290">
        <v>599</v>
      </c>
      <c r="H243" s="290">
        <v>1.1000000000000001</v>
      </c>
      <c r="I243" s="290">
        <v>1</v>
      </c>
      <c r="J243" s="290">
        <v>6</v>
      </c>
      <c r="K243" s="290" t="s">
        <v>46</v>
      </c>
      <c r="L243" s="290">
        <v>329</v>
      </c>
      <c r="M243" s="290">
        <v>9.4</v>
      </c>
      <c r="N243" s="290">
        <v>11.5</v>
      </c>
      <c r="O243" s="290">
        <v>71.099999999999994</v>
      </c>
      <c r="P243" s="290">
        <v>8810</v>
      </c>
      <c r="Q243" s="290">
        <f t="shared" si="9"/>
        <v>35747.399999999994</v>
      </c>
      <c r="R243" s="270"/>
      <c r="S243" s="270"/>
      <c r="T243" s="270"/>
      <c r="U243" s="271"/>
      <c r="V243" s="280"/>
    </row>
    <row r="244" spans="1:22">
      <c r="A244" s="287">
        <v>1</v>
      </c>
      <c r="B244" s="288" t="s">
        <v>64</v>
      </c>
      <c r="C244" s="289">
        <v>2</v>
      </c>
      <c r="D244" s="359">
        <v>45909</v>
      </c>
      <c r="E244" s="290">
        <v>15.7</v>
      </c>
      <c r="F244" s="290">
        <v>33500</v>
      </c>
      <c r="G244" s="290">
        <v>859</v>
      </c>
      <c r="H244" s="290">
        <v>1.1000000000000001</v>
      </c>
      <c r="I244" s="290">
        <v>1.3</v>
      </c>
      <c r="J244" s="290">
        <v>8</v>
      </c>
      <c r="K244" s="290" t="s">
        <v>46</v>
      </c>
      <c r="L244" s="290">
        <v>294</v>
      </c>
      <c r="M244" s="290">
        <v>8.4</v>
      </c>
      <c r="N244" s="290">
        <v>9.3000000000000007</v>
      </c>
      <c r="O244" s="290">
        <v>80.099999999999994</v>
      </c>
      <c r="P244" s="290">
        <v>11900</v>
      </c>
      <c r="Q244" s="290">
        <f t="shared" si="9"/>
        <v>46676.9</v>
      </c>
      <c r="R244" s="270"/>
      <c r="S244" s="270"/>
      <c r="T244" s="270"/>
      <c r="U244" s="271"/>
      <c r="V244" s="280"/>
    </row>
    <row r="245" spans="1:22">
      <c r="A245" s="287">
        <v>1</v>
      </c>
      <c r="B245" s="288" t="s">
        <v>64</v>
      </c>
      <c r="C245" s="289">
        <v>2</v>
      </c>
      <c r="D245" s="359">
        <v>45895</v>
      </c>
      <c r="E245" s="290">
        <v>13</v>
      </c>
      <c r="F245" s="290">
        <v>29200</v>
      </c>
      <c r="G245" s="290">
        <v>694</v>
      </c>
      <c r="H245" s="290" t="s">
        <v>46</v>
      </c>
      <c r="I245" s="290">
        <v>1.2</v>
      </c>
      <c r="J245" s="290">
        <v>7.1</v>
      </c>
      <c r="K245" s="290" t="s">
        <v>46</v>
      </c>
      <c r="L245" s="290">
        <v>366</v>
      </c>
      <c r="M245" s="290">
        <v>10.8</v>
      </c>
      <c r="N245" s="290">
        <v>15.8</v>
      </c>
      <c r="O245" s="290">
        <v>116</v>
      </c>
      <c r="P245" s="290">
        <v>8930</v>
      </c>
      <c r="Q245" s="290">
        <f t="shared" si="9"/>
        <v>39353.899999999994</v>
      </c>
      <c r="R245" s="270"/>
      <c r="S245" s="270"/>
      <c r="T245" s="270">
        <v>8560</v>
      </c>
      <c r="U245" s="271"/>
      <c r="V245" s="280"/>
    </row>
    <row r="246" spans="1:22">
      <c r="A246" s="287">
        <v>1</v>
      </c>
      <c r="B246" s="288" t="s">
        <v>64</v>
      </c>
      <c r="C246" s="289">
        <v>2</v>
      </c>
      <c r="D246" s="359">
        <v>45840</v>
      </c>
      <c r="E246" s="290">
        <v>13.7</v>
      </c>
      <c r="F246" s="290">
        <v>34300</v>
      </c>
      <c r="G246" s="290">
        <v>717</v>
      </c>
      <c r="H246" s="290" t="s">
        <v>46</v>
      </c>
      <c r="I246" s="290">
        <v>1.1000000000000001</v>
      </c>
      <c r="J246" s="290">
        <v>8.1999999999999993</v>
      </c>
      <c r="K246" s="290" t="s">
        <v>46</v>
      </c>
      <c r="L246" s="290">
        <v>385</v>
      </c>
      <c r="M246" s="290">
        <v>9</v>
      </c>
      <c r="N246" s="290">
        <v>12.9</v>
      </c>
      <c r="O246" s="290">
        <v>104</v>
      </c>
      <c r="P246" s="290">
        <v>6690</v>
      </c>
      <c r="Q246" s="290">
        <f t="shared" si="9"/>
        <v>42240.899999999994</v>
      </c>
      <c r="R246" s="270"/>
      <c r="S246" s="270"/>
      <c r="T246" s="270"/>
      <c r="U246" s="271"/>
      <c r="V246" s="280"/>
    </row>
    <row r="247" spans="1:22">
      <c r="A247" s="287">
        <v>1</v>
      </c>
      <c r="B247" s="288" t="s">
        <v>64</v>
      </c>
      <c r="C247" s="289">
        <v>2</v>
      </c>
      <c r="D247" s="359">
        <v>45792</v>
      </c>
      <c r="E247" s="290">
        <v>19.2</v>
      </c>
      <c r="F247" s="290">
        <v>15900</v>
      </c>
      <c r="G247" s="290">
        <v>1150</v>
      </c>
      <c r="H247" s="290" t="s">
        <v>46</v>
      </c>
      <c r="I247" s="290">
        <v>1.7</v>
      </c>
      <c r="J247" s="290">
        <v>7.6</v>
      </c>
      <c r="K247" s="290" t="s">
        <v>46</v>
      </c>
      <c r="L247" s="290">
        <v>909</v>
      </c>
      <c r="M247" s="290">
        <v>4.8</v>
      </c>
      <c r="N247" s="290">
        <v>6.5</v>
      </c>
      <c r="O247" s="290">
        <v>226</v>
      </c>
      <c r="P247" s="290">
        <v>23500</v>
      </c>
      <c r="Q247" s="290">
        <f t="shared" si="9"/>
        <v>41724.800000000003</v>
      </c>
      <c r="R247" s="270" t="s">
        <v>36</v>
      </c>
      <c r="S247" s="270">
        <v>293</v>
      </c>
      <c r="T247" s="270">
        <v>33700</v>
      </c>
      <c r="U247" s="271"/>
      <c r="V247" s="280">
        <v>9</v>
      </c>
    </row>
    <row r="248" spans="1:22">
      <c r="A248" s="287">
        <v>1</v>
      </c>
      <c r="B248" s="288" t="s">
        <v>64</v>
      </c>
      <c r="C248" s="289">
        <v>2</v>
      </c>
      <c r="D248" s="359">
        <v>45670</v>
      </c>
      <c r="E248" s="290">
        <v>309</v>
      </c>
      <c r="F248" s="290">
        <v>121000</v>
      </c>
      <c r="G248" s="290">
        <v>3640</v>
      </c>
      <c r="H248" s="290">
        <v>1.1000000000000001</v>
      </c>
      <c r="I248" s="290">
        <v>2</v>
      </c>
      <c r="J248" s="290">
        <v>26.3</v>
      </c>
      <c r="K248" s="290" t="s">
        <v>46</v>
      </c>
      <c r="L248" s="290">
        <v>33.700000000000003</v>
      </c>
      <c r="M248" s="290">
        <v>9.5</v>
      </c>
      <c r="N248" s="290">
        <v>82.6</v>
      </c>
      <c r="O248" s="290">
        <v>82.6</v>
      </c>
      <c r="P248" s="290">
        <v>35300</v>
      </c>
      <c r="Q248" s="290">
        <f t="shared" si="9"/>
        <v>160486.80000000002</v>
      </c>
      <c r="R248" s="270"/>
      <c r="S248" s="270"/>
      <c r="T248" s="270"/>
      <c r="U248" s="271"/>
      <c r="V248" s="280"/>
    </row>
    <row r="249" spans="1:22">
      <c r="A249" s="287">
        <v>1</v>
      </c>
      <c r="B249" s="288" t="s">
        <v>64</v>
      </c>
      <c r="C249" s="289">
        <v>2</v>
      </c>
      <c r="D249" s="359">
        <v>45629</v>
      </c>
      <c r="E249" s="290">
        <v>230</v>
      </c>
      <c r="F249" s="290">
        <v>218000</v>
      </c>
      <c r="G249" s="290">
        <v>5490</v>
      </c>
      <c r="H249" s="290" t="s">
        <v>46</v>
      </c>
      <c r="I249" s="290">
        <v>2.1</v>
      </c>
      <c r="J249" s="290">
        <v>20.5</v>
      </c>
      <c r="K249" s="290" t="s">
        <v>46</v>
      </c>
      <c r="L249" s="290">
        <v>4590</v>
      </c>
      <c r="M249" s="290">
        <v>37.700000000000003</v>
      </c>
      <c r="N249" s="290">
        <v>40.9</v>
      </c>
      <c r="O249" s="290">
        <v>559</v>
      </c>
      <c r="P249" s="290">
        <v>59200</v>
      </c>
      <c r="Q249" s="290">
        <f t="shared" si="9"/>
        <v>288170.2</v>
      </c>
      <c r="R249" s="270"/>
      <c r="S249" s="270"/>
      <c r="T249" s="270">
        <v>9360</v>
      </c>
      <c r="U249" s="271" t="s">
        <v>101</v>
      </c>
      <c r="V249" s="280"/>
    </row>
    <row r="250" spans="1:22">
      <c r="A250" s="287">
        <v>1</v>
      </c>
      <c r="B250" s="288" t="s">
        <v>64</v>
      </c>
      <c r="C250" s="289">
        <v>2</v>
      </c>
      <c r="D250" s="359">
        <v>45616</v>
      </c>
      <c r="E250" s="290">
        <v>443</v>
      </c>
      <c r="F250" s="290">
        <v>274000</v>
      </c>
      <c r="G250" s="290">
        <v>6920</v>
      </c>
      <c r="H250" s="290">
        <v>1.4</v>
      </c>
      <c r="I250" s="290">
        <v>2.1</v>
      </c>
      <c r="J250" s="290">
        <v>24.6</v>
      </c>
      <c r="K250" s="290" t="s">
        <v>46</v>
      </c>
      <c r="L250" s="290">
        <v>253</v>
      </c>
      <c r="M250" s="290">
        <v>9.1999999999999993</v>
      </c>
      <c r="N250" s="290">
        <v>6.4</v>
      </c>
      <c r="O250" s="290">
        <v>47.2</v>
      </c>
      <c r="P250" s="290">
        <v>79100</v>
      </c>
      <c r="Q250" s="290">
        <f t="shared" si="9"/>
        <v>360806.9</v>
      </c>
      <c r="R250" s="270"/>
      <c r="S250" s="270"/>
      <c r="T250" s="270">
        <v>8810</v>
      </c>
      <c r="U250" s="271" t="s">
        <v>101</v>
      </c>
      <c r="V250" s="280"/>
    </row>
    <row r="251" spans="1:22">
      <c r="A251" s="287">
        <v>1</v>
      </c>
      <c r="B251" s="288" t="s">
        <v>64</v>
      </c>
      <c r="C251" s="289">
        <v>2</v>
      </c>
      <c r="D251" s="359">
        <v>45567</v>
      </c>
      <c r="E251" s="290">
        <v>377</v>
      </c>
      <c r="F251" s="290">
        <v>252000</v>
      </c>
      <c r="G251" s="290">
        <v>6450</v>
      </c>
      <c r="H251" s="290" t="s">
        <v>46</v>
      </c>
      <c r="I251" s="290">
        <v>1.9</v>
      </c>
      <c r="J251" s="290">
        <v>24.1</v>
      </c>
      <c r="K251" s="290">
        <v>1.3</v>
      </c>
      <c r="L251" s="290">
        <v>1470</v>
      </c>
      <c r="M251" s="290">
        <v>16.7</v>
      </c>
      <c r="N251" s="290">
        <v>20.8</v>
      </c>
      <c r="O251" s="290">
        <v>246</v>
      </c>
      <c r="P251" s="290">
        <v>59200</v>
      </c>
      <c r="Q251" s="290">
        <f t="shared" si="9"/>
        <v>319807.8</v>
      </c>
      <c r="R251" s="270"/>
      <c r="S251" s="270"/>
      <c r="T251" s="270">
        <v>11000</v>
      </c>
      <c r="U251" s="271" t="s">
        <v>101</v>
      </c>
      <c r="V251" s="280"/>
    </row>
    <row r="252" spans="1:22">
      <c r="A252" s="287">
        <v>1</v>
      </c>
      <c r="B252" s="288" t="s">
        <v>64</v>
      </c>
      <c r="C252" s="289">
        <v>2</v>
      </c>
      <c r="D252" s="359">
        <v>45538</v>
      </c>
      <c r="E252" s="290">
        <v>349</v>
      </c>
      <c r="F252" s="290">
        <v>217000</v>
      </c>
      <c r="G252" s="290">
        <v>5420</v>
      </c>
      <c r="H252" s="290" t="s">
        <v>46</v>
      </c>
      <c r="I252" s="290">
        <v>1.4</v>
      </c>
      <c r="J252" s="290">
        <v>19.3</v>
      </c>
      <c r="K252" s="290">
        <v>1.1000000000000001</v>
      </c>
      <c r="L252" s="290">
        <v>27900</v>
      </c>
      <c r="M252" s="290">
        <v>121</v>
      </c>
      <c r="N252" s="290">
        <v>164</v>
      </c>
      <c r="O252" s="290">
        <v>2630</v>
      </c>
      <c r="P252" s="290">
        <v>43000</v>
      </c>
      <c r="Q252" s="290">
        <f t="shared" si="9"/>
        <v>296605.8</v>
      </c>
      <c r="R252" s="270"/>
      <c r="S252" s="270"/>
      <c r="T252" s="270">
        <v>8100</v>
      </c>
      <c r="U252" s="271" t="s">
        <v>101</v>
      </c>
      <c r="V252" s="280"/>
    </row>
    <row r="253" spans="1:22">
      <c r="A253" s="287">
        <v>1</v>
      </c>
      <c r="B253" s="288" t="s">
        <v>64</v>
      </c>
      <c r="C253" s="289">
        <v>2</v>
      </c>
      <c r="D253" s="359">
        <v>45510</v>
      </c>
      <c r="E253" s="290">
        <v>890</v>
      </c>
      <c r="F253" s="290">
        <v>116000</v>
      </c>
      <c r="G253" s="290">
        <v>6150</v>
      </c>
      <c r="H253" s="290" t="s">
        <v>46</v>
      </c>
      <c r="I253" s="290">
        <v>1.8</v>
      </c>
      <c r="J253" s="290">
        <v>25.5</v>
      </c>
      <c r="K253" s="290">
        <v>2.7</v>
      </c>
      <c r="L253" s="290">
        <v>140000</v>
      </c>
      <c r="M253" s="290">
        <v>368</v>
      </c>
      <c r="N253" s="290">
        <v>507</v>
      </c>
      <c r="O253" s="290">
        <v>4820</v>
      </c>
      <c r="P253" s="290">
        <v>49000</v>
      </c>
      <c r="Q253" s="290">
        <f t="shared" si="9"/>
        <v>317765</v>
      </c>
      <c r="R253" s="270"/>
      <c r="S253" s="270"/>
      <c r="T253" s="270">
        <v>9020</v>
      </c>
      <c r="U253" s="271" t="s">
        <v>101</v>
      </c>
      <c r="V253" s="280"/>
    </row>
    <row r="254" spans="1:22">
      <c r="A254" s="287">
        <v>1</v>
      </c>
      <c r="B254" s="288" t="s">
        <v>64</v>
      </c>
      <c r="C254" s="289">
        <v>2</v>
      </c>
      <c r="D254" s="359">
        <v>45482</v>
      </c>
      <c r="E254" s="290">
        <v>106</v>
      </c>
      <c r="F254" s="290">
        <v>86900</v>
      </c>
      <c r="G254" s="290">
        <v>5730</v>
      </c>
      <c r="H254" s="290">
        <v>1.7</v>
      </c>
      <c r="I254" s="290">
        <v>1.8</v>
      </c>
      <c r="J254" s="290">
        <v>23.7</v>
      </c>
      <c r="K254" s="290" t="s">
        <v>46</v>
      </c>
      <c r="L254" s="290">
        <v>19.899999999999999</v>
      </c>
      <c r="M254" s="290" t="s">
        <v>46</v>
      </c>
      <c r="N254" s="290" t="s">
        <v>46</v>
      </c>
      <c r="O254" s="290" t="s">
        <v>102</v>
      </c>
      <c r="P254" s="290">
        <v>155000</v>
      </c>
      <c r="Q254" s="290">
        <f t="shared" si="9"/>
        <v>247783.09999999998</v>
      </c>
      <c r="R254" s="270"/>
      <c r="S254" s="270"/>
      <c r="T254" s="270">
        <v>16500</v>
      </c>
      <c r="U254" s="271" t="s">
        <v>101</v>
      </c>
      <c r="V254" s="280"/>
    </row>
    <row r="255" spans="1:22">
      <c r="A255" s="287">
        <v>1</v>
      </c>
      <c r="B255" s="288" t="s">
        <v>64</v>
      </c>
      <c r="C255" s="289">
        <v>2</v>
      </c>
      <c r="D255" s="359">
        <v>45454</v>
      </c>
      <c r="E255" s="290">
        <v>372</v>
      </c>
      <c r="F255" s="290">
        <v>261000</v>
      </c>
      <c r="G255" s="290">
        <v>6580</v>
      </c>
      <c r="H255" s="290">
        <v>5.9</v>
      </c>
      <c r="I255" s="290">
        <v>2.2999999999999998</v>
      </c>
      <c r="J255" s="290">
        <v>28.9</v>
      </c>
      <c r="K255" s="290">
        <v>2.6</v>
      </c>
      <c r="L255" s="290">
        <v>418</v>
      </c>
      <c r="M255" s="290">
        <v>244</v>
      </c>
      <c r="N255" s="290">
        <v>21.6</v>
      </c>
      <c r="O255" s="290">
        <v>3970</v>
      </c>
      <c r="P255" s="290">
        <v>51300</v>
      </c>
      <c r="Q255" s="290">
        <f t="shared" si="9"/>
        <v>323945.3</v>
      </c>
      <c r="R255" s="270"/>
      <c r="S255" s="270"/>
      <c r="T255" s="270">
        <v>9800</v>
      </c>
      <c r="U255" s="271" t="s">
        <v>101</v>
      </c>
      <c r="V255" s="280"/>
    </row>
    <row r="256" spans="1:22">
      <c r="A256" s="287">
        <v>1</v>
      </c>
      <c r="B256" s="288" t="s">
        <v>64</v>
      </c>
      <c r="C256" s="289">
        <v>2</v>
      </c>
      <c r="D256" s="359">
        <v>45426</v>
      </c>
      <c r="E256" s="290">
        <v>715</v>
      </c>
      <c r="F256" s="290">
        <v>140000</v>
      </c>
      <c r="G256" s="290">
        <v>5070</v>
      </c>
      <c r="H256" s="290" t="s">
        <v>46</v>
      </c>
      <c r="I256" s="290">
        <v>1.5</v>
      </c>
      <c r="J256" s="290">
        <v>21.5</v>
      </c>
      <c r="K256" s="290" t="s">
        <v>46</v>
      </c>
      <c r="L256" s="290">
        <v>38.700000000000003</v>
      </c>
      <c r="M256" s="290">
        <v>2.2000000000000002</v>
      </c>
      <c r="N256" s="290">
        <v>1.8</v>
      </c>
      <c r="O256" s="290">
        <v>13.1</v>
      </c>
      <c r="P256" s="290">
        <v>136000</v>
      </c>
      <c r="Q256" s="290">
        <f t="shared" si="9"/>
        <v>281863.80000000005</v>
      </c>
      <c r="R256" s="270"/>
      <c r="S256" s="270"/>
      <c r="T256" s="270">
        <v>16100</v>
      </c>
      <c r="U256" s="271" t="s">
        <v>101</v>
      </c>
      <c r="V256" s="280"/>
    </row>
    <row r="257" spans="1:22">
      <c r="A257" s="287">
        <v>1</v>
      </c>
      <c r="B257" s="288" t="s">
        <v>64</v>
      </c>
      <c r="C257" s="289">
        <v>2</v>
      </c>
      <c r="D257" s="359">
        <v>45384</v>
      </c>
      <c r="E257" s="290">
        <v>603</v>
      </c>
      <c r="F257" s="290">
        <v>221000</v>
      </c>
      <c r="G257" s="290">
        <v>5340</v>
      </c>
      <c r="H257" s="290" t="s">
        <v>46</v>
      </c>
      <c r="I257" s="290">
        <v>1.6</v>
      </c>
      <c r="J257" s="290">
        <v>24.8</v>
      </c>
      <c r="K257" s="290">
        <v>1.6</v>
      </c>
      <c r="L257" s="290">
        <v>984</v>
      </c>
      <c r="M257" s="290">
        <v>39.700000000000003</v>
      </c>
      <c r="N257" s="290">
        <v>28.5</v>
      </c>
      <c r="O257" s="290">
        <v>479</v>
      </c>
      <c r="P257" s="290">
        <v>52000</v>
      </c>
      <c r="Q257" s="290">
        <f t="shared" si="9"/>
        <v>280502.2</v>
      </c>
      <c r="R257" s="270"/>
      <c r="S257" s="270"/>
      <c r="T257" s="270">
        <v>8640</v>
      </c>
      <c r="U257" s="271" t="s">
        <v>101</v>
      </c>
      <c r="V257" s="280"/>
    </row>
    <row r="258" spans="1:22">
      <c r="A258" s="287">
        <v>1</v>
      </c>
      <c r="B258" s="288" t="s">
        <v>64</v>
      </c>
      <c r="C258" s="289">
        <v>2</v>
      </c>
      <c r="D258" s="359">
        <v>45357</v>
      </c>
      <c r="E258" s="290">
        <v>501</v>
      </c>
      <c r="F258" s="290">
        <v>237000</v>
      </c>
      <c r="G258" s="290">
        <v>5880</v>
      </c>
      <c r="H258" s="290">
        <v>2.9</v>
      </c>
      <c r="I258" s="290">
        <v>1.9</v>
      </c>
      <c r="J258" s="290">
        <v>28.1</v>
      </c>
      <c r="K258" s="290">
        <v>2.2000000000000002</v>
      </c>
      <c r="L258" s="290">
        <v>2180</v>
      </c>
      <c r="M258" s="290">
        <v>44.1</v>
      </c>
      <c r="N258" s="290">
        <v>33.5</v>
      </c>
      <c r="O258" s="290">
        <v>440</v>
      </c>
      <c r="P258" s="290">
        <v>38300</v>
      </c>
      <c r="Q258" s="290">
        <f t="shared" si="9"/>
        <v>284413.7</v>
      </c>
      <c r="R258" s="270"/>
      <c r="S258" s="270"/>
      <c r="T258" s="270">
        <v>4620</v>
      </c>
      <c r="U258" s="271" t="s">
        <v>101</v>
      </c>
      <c r="V258" s="280"/>
    </row>
    <row r="259" spans="1:22">
      <c r="A259" s="287">
        <v>1</v>
      </c>
      <c r="B259" s="288" t="s">
        <v>64</v>
      </c>
      <c r="C259" s="289">
        <v>2</v>
      </c>
      <c r="D259" s="359">
        <v>45328</v>
      </c>
      <c r="E259" s="290">
        <v>544</v>
      </c>
      <c r="F259" s="290">
        <v>261000</v>
      </c>
      <c r="G259" s="290">
        <v>5910</v>
      </c>
      <c r="H259" s="290">
        <v>1.7</v>
      </c>
      <c r="I259" s="290">
        <v>1.9</v>
      </c>
      <c r="J259" s="290">
        <v>26.1</v>
      </c>
      <c r="K259" s="290">
        <v>1.7</v>
      </c>
      <c r="L259" s="290">
        <v>149</v>
      </c>
      <c r="M259" s="290">
        <v>70.3</v>
      </c>
      <c r="N259" s="290">
        <v>5.8</v>
      </c>
      <c r="O259" s="290">
        <v>1040</v>
      </c>
      <c r="P259" s="290">
        <v>28000</v>
      </c>
      <c r="Q259" s="290">
        <f t="shared" si="9"/>
        <v>296750.5</v>
      </c>
      <c r="R259" s="270"/>
      <c r="S259" s="270"/>
      <c r="T259" s="270">
        <v>9250</v>
      </c>
      <c r="U259" s="271" t="s">
        <v>101</v>
      </c>
      <c r="V259" s="280"/>
    </row>
    <row r="260" spans="1:22">
      <c r="A260" s="287">
        <v>1</v>
      </c>
      <c r="B260" s="288" t="s">
        <v>64</v>
      </c>
      <c r="C260" s="289">
        <v>2</v>
      </c>
      <c r="D260" s="359">
        <v>45300</v>
      </c>
      <c r="E260" s="290">
        <v>458</v>
      </c>
      <c r="F260" s="290">
        <v>343000</v>
      </c>
      <c r="G260" s="290">
        <v>7840</v>
      </c>
      <c r="H260" s="290">
        <v>1.2</v>
      </c>
      <c r="I260" s="290">
        <v>2.2999999999999998</v>
      </c>
      <c r="J260" s="290">
        <v>29.4</v>
      </c>
      <c r="K260" s="290">
        <v>1.4</v>
      </c>
      <c r="L260" s="290">
        <v>56.7</v>
      </c>
      <c r="M260" s="290">
        <v>2.4</v>
      </c>
      <c r="N260" s="290">
        <v>6.5</v>
      </c>
      <c r="O260" s="290">
        <v>22.7</v>
      </c>
      <c r="P260" s="290">
        <v>31300</v>
      </c>
      <c r="Q260" s="290">
        <f t="shared" si="9"/>
        <v>382720.60000000009</v>
      </c>
      <c r="R260" s="270"/>
      <c r="S260" s="270"/>
      <c r="T260" s="270">
        <v>11200</v>
      </c>
      <c r="U260" s="271" t="s">
        <v>101</v>
      </c>
      <c r="V260" s="280"/>
    </row>
    <row r="261" spans="1:22">
      <c r="A261" s="287">
        <v>1</v>
      </c>
      <c r="B261" s="288" t="s">
        <v>64</v>
      </c>
      <c r="C261" s="289">
        <v>2</v>
      </c>
      <c r="D261" s="359">
        <v>45264</v>
      </c>
      <c r="E261" s="290">
        <v>564</v>
      </c>
      <c r="F261" s="290">
        <v>289000</v>
      </c>
      <c r="G261" s="290">
        <v>7650</v>
      </c>
      <c r="H261" s="290" t="s">
        <v>46</v>
      </c>
      <c r="I261" s="290">
        <v>2.1</v>
      </c>
      <c r="J261" s="290">
        <v>28.5</v>
      </c>
      <c r="K261" s="290" t="s">
        <v>46</v>
      </c>
      <c r="L261" s="290">
        <v>53.7</v>
      </c>
      <c r="M261" s="290">
        <v>1.1000000000000001</v>
      </c>
      <c r="N261" s="290">
        <v>2.6</v>
      </c>
      <c r="O261" s="290">
        <v>12.3</v>
      </c>
      <c r="P261" s="290">
        <v>27000</v>
      </c>
      <c r="Q261" s="290">
        <f t="shared" si="9"/>
        <v>324314.29999999993</v>
      </c>
      <c r="R261" s="270"/>
      <c r="S261" s="270"/>
      <c r="T261" s="270">
        <v>7800</v>
      </c>
      <c r="U261" s="271" t="s">
        <v>101</v>
      </c>
      <c r="V261" s="280"/>
    </row>
    <row r="262" spans="1:22">
      <c r="A262" s="287">
        <v>1</v>
      </c>
      <c r="B262" s="288" t="s">
        <v>64</v>
      </c>
      <c r="C262" s="289">
        <v>2</v>
      </c>
      <c r="D262" s="359">
        <v>45244</v>
      </c>
      <c r="E262" s="290">
        <v>688</v>
      </c>
      <c r="F262" s="290">
        <v>366000</v>
      </c>
      <c r="G262" s="290">
        <v>10400</v>
      </c>
      <c r="H262" s="290">
        <v>1.1000000000000001</v>
      </c>
      <c r="I262" s="290">
        <v>3</v>
      </c>
      <c r="J262" s="290">
        <v>31.7</v>
      </c>
      <c r="K262" s="290">
        <v>2.2999999999999998</v>
      </c>
      <c r="L262" s="290">
        <v>229</v>
      </c>
      <c r="M262" s="290">
        <v>28.7</v>
      </c>
      <c r="N262" s="290">
        <v>14</v>
      </c>
      <c r="O262" s="290">
        <v>340</v>
      </c>
      <c r="P262" s="290">
        <v>29900</v>
      </c>
      <c r="Q262" s="290">
        <f t="shared" si="9"/>
        <v>407637.8</v>
      </c>
      <c r="R262" s="270"/>
      <c r="S262" s="270"/>
      <c r="T262" s="270">
        <v>3100</v>
      </c>
      <c r="U262" s="271" t="s">
        <v>101</v>
      </c>
      <c r="V262" s="280"/>
    </row>
    <row r="263" spans="1:22">
      <c r="A263" s="287">
        <v>1</v>
      </c>
      <c r="B263" s="288" t="s">
        <v>64</v>
      </c>
      <c r="C263" s="289">
        <v>2</v>
      </c>
      <c r="D263" s="359">
        <v>45209</v>
      </c>
      <c r="E263" s="290">
        <v>501</v>
      </c>
      <c r="F263" s="290">
        <v>331000</v>
      </c>
      <c r="G263" s="290">
        <v>7440</v>
      </c>
      <c r="H263" s="290" t="s">
        <v>46</v>
      </c>
      <c r="I263" s="290">
        <v>2.1</v>
      </c>
      <c r="J263" s="290">
        <v>30.7</v>
      </c>
      <c r="K263" s="290">
        <v>2.2999999999999998</v>
      </c>
      <c r="L263" s="290">
        <v>864</v>
      </c>
      <c r="M263" s="290">
        <v>222</v>
      </c>
      <c r="N263" s="290">
        <v>9.4</v>
      </c>
      <c r="O263" s="290">
        <v>2930</v>
      </c>
      <c r="P263" s="290">
        <v>29600</v>
      </c>
      <c r="Q263" s="290">
        <f t="shared" si="9"/>
        <v>372601.5</v>
      </c>
      <c r="R263" s="270"/>
      <c r="S263" s="270"/>
      <c r="T263" s="270">
        <v>2340</v>
      </c>
      <c r="U263" s="271" t="s">
        <v>101</v>
      </c>
      <c r="V263" s="280"/>
    </row>
    <row r="264" spans="1:22">
      <c r="A264" s="287">
        <v>1</v>
      </c>
      <c r="B264" s="288" t="s">
        <v>64</v>
      </c>
      <c r="C264" s="289">
        <v>2</v>
      </c>
      <c r="D264" s="359">
        <v>45181</v>
      </c>
      <c r="E264" s="290">
        <v>912</v>
      </c>
      <c r="F264" s="290">
        <v>304000</v>
      </c>
      <c r="G264" s="290">
        <v>7650</v>
      </c>
      <c r="H264" s="290" t="s">
        <v>46</v>
      </c>
      <c r="I264" s="290">
        <v>2.2000000000000002</v>
      </c>
      <c r="J264" s="290">
        <v>24.5</v>
      </c>
      <c r="K264" s="290">
        <v>1.2</v>
      </c>
      <c r="L264" s="290">
        <v>4000</v>
      </c>
      <c r="M264" s="290">
        <v>81.3</v>
      </c>
      <c r="N264" s="290">
        <v>33.1</v>
      </c>
      <c r="O264" s="290">
        <v>1380</v>
      </c>
      <c r="P264" s="290">
        <v>29900</v>
      </c>
      <c r="Q264" s="290">
        <f t="shared" si="9"/>
        <v>347984.3</v>
      </c>
      <c r="R264" s="270"/>
      <c r="S264" s="270"/>
      <c r="T264" s="270">
        <v>850</v>
      </c>
      <c r="U264" s="271" t="s">
        <v>101</v>
      </c>
      <c r="V264" s="280"/>
    </row>
    <row r="265" spans="1:22">
      <c r="A265" s="287">
        <v>1</v>
      </c>
      <c r="B265" s="288" t="s">
        <v>64</v>
      </c>
      <c r="C265" s="289">
        <v>2</v>
      </c>
      <c r="D265" s="359">
        <v>45160</v>
      </c>
      <c r="E265" s="290">
        <v>2460</v>
      </c>
      <c r="F265" s="290">
        <v>420000</v>
      </c>
      <c r="G265" s="290">
        <v>9220</v>
      </c>
      <c r="H265" s="290" t="s">
        <v>46</v>
      </c>
      <c r="I265" s="290">
        <v>2.1</v>
      </c>
      <c r="J265" s="290">
        <v>25.6</v>
      </c>
      <c r="K265" s="290">
        <v>2.8</v>
      </c>
      <c r="L265" s="290">
        <v>32500</v>
      </c>
      <c r="M265" s="290">
        <v>215</v>
      </c>
      <c r="N265" s="290">
        <v>161</v>
      </c>
      <c r="O265" s="290">
        <v>4080</v>
      </c>
      <c r="P265" s="290">
        <v>55000</v>
      </c>
      <c r="Q265" s="290">
        <f t="shared" si="9"/>
        <v>523666.49999999994</v>
      </c>
      <c r="R265" s="270"/>
      <c r="S265" s="270"/>
      <c r="T265" s="270">
        <v>4930</v>
      </c>
      <c r="U265" s="271" t="s">
        <v>101</v>
      </c>
      <c r="V265" s="280"/>
    </row>
    <row r="266" spans="1:22">
      <c r="A266" s="287">
        <v>1</v>
      </c>
      <c r="B266" s="288" t="s">
        <v>64</v>
      </c>
      <c r="C266" s="289">
        <v>2</v>
      </c>
      <c r="D266" s="359">
        <v>45118</v>
      </c>
      <c r="E266" s="290">
        <v>459</v>
      </c>
      <c r="F266" s="290">
        <v>309000</v>
      </c>
      <c r="G266" s="290">
        <v>5870</v>
      </c>
      <c r="H266" s="290">
        <v>2.8</v>
      </c>
      <c r="I266" s="290">
        <v>1.7</v>
      </c>
      <c r="J266" s="290">
        <v>23</v>
      </c>
      <c r="K266" s="290">
        <v>1.3</v>
      </c>
      <c r="L266" s="290">
        <v>45.4</v>
      </c>
      <c r="M266" s="290">
        <v>4.5</v>
      </c>
      <c r="N266" s="290">
        <v>1.3</v>
      </c>
      <c r="O266" s="290" t="s">
        <v>46</v>
      </c>
      <c r="P266" s="290">
        <v>43600</v>
      </c>
      <c r="Q266" s="290">
        <f t="shared" si="9"/>
        <v>359009</v>
      </c>
      <c r="R266" s="270"/>
      <c r="S266" s="270"/>
      <c r="T266" s="270"/>
      <c r="U266" s="271" t="s">
        <v>101</v>
      </c>
      <c r="V266" s="280"/>
    </row>
    <row r="267" spans="1:22">
      <c r="A267" s="287">
        <v>1</v>
      </c>
      <c r="B267" s="288" t="s">
        <v>64</v>
      </c>
      <c r="C267" s="289">
        <v>2</v>
      </c>
      <c r="D267" s="359">
        <v>45097</v>
      </c>
      <c r="E267" s="290">
        <v>795</v>
      </c>
      <c r="F267" s="290">
        <v>204000</v>
      </c>
      <c r="G267" s="290">
        <v>4850</v>
      </c>
      <c r="H267" s="290" t="s">
        <v>46</v>
      </c>
      <c r="I267" s="290">
        <v>1.4</v>
      </c>
      <c r="J267" s="290">
        <v>20.2</v>
      </c>
      <c r="K267" s="290">
        <v>1.6</v>
      </c>
      <c r="L267" s="290">
        <v>4430</v>
      </c>
      <c r="M267" s="290">
        <v>118</v>
      </c>
      <c r="N267" s="290">
        <v>61.1</v>
      </c>
      <c r="O267" s="290">
        <v>2050</v>
      </c>
      <c r="P267" s="290">
        <v>28500</v>
      </c>
      <c r="Q267" s="290">
        <f t="shared" si="9"/>
        <v>244827.30000000002</v>
      </c>
      <c r="R267" s="273"/>
      <c r="S267" s="273"/>
      <c r="T267" s="270">
        <v>4140</v>
      </c>
      <c r="U267" s="271" t="s">
        <v>101</v>
      </c>
      <c r="V267" s="280"/>
    </row>
    <row r="268" spans="1:22">
      <c r="A268" s="287">
        <v>1</v>
      </c>
      <c r="B268" s="288" t="s">
        <v>64</v>
      </c>
      <c r="C268" s="289">
        <v>2</v>
      </c>
      <c r="D268" s="359">
        <v>45062</v>
      </c>
      <c r="E268" s="290">
        <v>749</v>
      </c>
      <c r="F268" s="290">
        <v>308000</v>
      </c>
      <c r="G268" s="290">
        <v>5120</v>
      </c>
      <c r="H268" s="290" t="s">
        <v>46</v>
      </c>
      <c r="I268" s="290">
        <v>1.7</v>
      </c>
      <c r="J268" s="290">
        <v>21.5</v>
      </c>
      <c r="K268" s="290">
        <v>3.6</v>
      </c>
      <c r="L268" s="290">
        <v>95600</v>
      </c>
      <c r="M268" s="290">
        <v>729</v>
      </c>
      <c r="N268" s="290">
        <v>258</v>
      </c>
      <c r="O268" s="290">
        <v>14800</v>
      </c>
      <c r="P268" s="290">
        <v>19400</v>
      </c>
      <c r="Q268" s="290">
        <f t="shared" si="9"/>
        <v>444682.8</v>
      </c>
      <c r="R268" s="270"/>
      <c r="S268" s="270"/>
      <c r="T268" s="270"/>
      <c r="U268" s="271"/>
      <c r="V268" s="280"/>
    </row>
    <row r="269" spans="1:22">
      <c r="A269" s="287">
        <v>1</v>
      </c>
      <c r="B269" s="288" t="s">
        <v>64</v>
      </c>
      <c r="C269" s="289">
        <v>2</v>
      </c>
      <c r="D269" s="359">
        <v>45006</v>
      </c>
      <c r="E269" s="290">
        <v>250</v>
      </c>
      <c r="F269" s="290">
        <v>104000</v>
      </c>
      <c r="G269" s="290">
        <v>3540</v>
      </c>
      <c r="H269" s="290" t="s">
        <v>46</v>
      </c>
      <c r="I269" s="290">
        <v>1.1000000000000001</v>
      </c>
      <c r="J269" s="290">
        <v>21.2</v>
      </c>
      <c r="K269" s="290" t="s">
        <v>46</v>
      </c>
      <c r="L269" s="290">
        <v>87.5</v>
      </c>
      <c r="M269" s="290" t="s">
        <v>46</v>
      </c>
      <c r="N269" s="290">
        <v>4.3</v>
      </c>
      <c r="O269" s="290">
        <v>3.8</v>
      </c>
      <c r="P269" s="290">
        <v>84600</v>
      </c>
      <c r="Q269" s="290">
        <f t="shared" si="9"/>
        <v>192507.90000000002</v>
      </c>
      <c r="R269" s="270"/>
      <c r="S269" s="270"/>
      <c r="T269" s="270">
        <v>1410</v>
      </c>
      <c r="U269" s="271" t="s">
        <v>101</v>
      </c>
      <c r="V269" s="280"/>
    </row>
    <row r="270" spans="1:22">
      <c r="A270" s="287">
        <v>1</v>
      </c>
      <c r="B270" s="288" t="s">
        <v>64</v>
      </c>
      <c r="C270" s="289">
        <v>2</v>
      </c>
      <c r="D270" s="359">
        <v>44978</v>
      </c>
      <c r="E270" s="290">
        <v>2050</v>
      </c>
      <c r="F270" s="290">
        <v>114000</v>
      </c>
      <c r="G270" s="290">
        <v>5120</v>
      </c>
      <c r="H270" s="290" t="s">
        <v>46</v>
      </c>
      <c r="I270" s="290">
        <v>1.5</v>
      </c>
      <c r="J270" s="290">
        <v>18.7</v>
      </c>
      <c r="K270" s="290">
        <v>1.9</v>
      </c>
      <c r="L270" s="290">
        <v>224000</v>
      </c>
      <c r="M270" s="290">
        <v>662</v>
      </c>
      <c r="N270" s="290">
        <v>1040</v>
      </c>
      <c r="O270" s="290">
        <v>8420</v>
      </c>
      <c r="P270" s="290">
        <v>35300</v>
      </c>
      <c r="Q270" s="290">
        <f t="shared" si="9"/>
        <v>390614.1</v>
      </c>
      <c r="R270" s="270"/>
      <c r="S270" s="270"/>
      <c r="T270" s="270">
        <v>3130</v>
      </c>
      <c r="U270" s="271" t="s">
        <v>101</v>
      </c>
      <c r="V270" s="280"/>
    </row>
    <row r="271" spans="1:22">
      <c r="A271" s="287">
        <v>1</v>
      </c>
      <c r="B271" s="288" t="s">
        <v>64</v>
      </c>
      <c r="C271" s="289">
        <v>2</v>
      </c>
      <c r="D271" s="359">
        <v>44950</v>
      </c>
      <c r="E271" s="290">
        <v>1160</v>
      </c>
      <c r="F271" s="290">
        <v>368000</v>
      </c>
      <c r="G271" s="290">
        <v>6650</v>
      </c>
      <c r="H271" s="290" t="s">
        <v>46</v>
      </c>
      <c r="I271" s="290">
        <v>1.6</v>
      </c>
      <c r="J271" s="290">
        <v>21.4</v>
      </c>
      <c r="K271" s="290" t="s">
        <v>46</v>
      </c>
      <c r="L271" s="290">
        <v>77200</v>
      </c>
      <c r="M271" s="290">
        <v>312</v>
      </c>
      <c r="N271" s="290">
        <v>312</v>
      </c>
      <c r="O271" s="290">
        <v>4760</v>
      </c>
      <c r="P271" s="290">
        <v>36200</v>
      </c>
      <c r="Q271" s="290">
        <f t="shared" si="9"/>
        <v>494617</v>
      </c>
      <c r="R271" s="270"/>
      <c r="S271" s="270"/>
      <c r="T271" s="270">
        <v>2960</v>
      </c>
      <c r="U271" s="271" t="s">
        <v>101</v>
      </c>
      <c r="V271" s="280"/>
    </row>
    <row r="272" spans="1:22">
      <c r="A272" s="287">
        <v>1</v>
      </c>
      <c r="B272" s="288" t="s">
        <v>64</v>
      </c>
      <c r="C272" s="289">
        <v>2</v>
      </c>
      <c r="D272" s="359">
        <v>44909</v>
      </c>
      <c r="E272" s="290">
        <v>1040</v>
      </c>
      <c r="F272" s="290">
        <v>269000</v>
      </c>
      <c r="G272" s="290">
        <v>5340</v>
      </c>
      <c r="H272" s="290" t="s">
        <v>46</v>
      </c>
      <c r="I272" s="290">
        <v>1.7</v>
      </c>
      <c r="J272" s="290">
        <v>20.3</v>
      </c>
      <c r="K272" s="290">
        <v>2.5</v>
      </c>
      <c r="L272" s="290">
        <v>244000</v>
      </c>
      <c r="M272" s="290">
        <v>978</v>
      </c>
      <c r="N272" s="290">
        <v>992</v>
      </c>
      <c r="O272" s="290">
        <v>14900</v>
      </c>
      <c r="P272" s="290">
        <v>19400</v>
      </c>
      <c r="Q272" s="290">
        <f t="shared" si="9"/>
        <v>555674.5</v>
      </c>
      <c r="R272" s="270"/>
      <c r="S272" s="270"/>
      <c r="T272" s="270">
        <v>2200</v>
      </c>
      <c r="U272" s="271" t="s">
        <v>101</v>
      </c>
      <c r="V272" s="280"/>
    </row>
    <row r="273" spans="1:22">
      <c r="A273" s="287">
        <v>1</v>
      </c>
      <c r="B273" s="288" t="s">
        <v>64</v>
      </c>
      <c r="C273" s="289">
        <v>2</v>
      </c>
      <c r="D273" s="359">
        <v>44880</v>
      </c>
      <c r="E273" s="290">
        <v>1</v>
      </c>
      <c r="F273" s="290">
        <v>402</v>
      </c>
      <c r="G273" s="290">
        <v>1500</v>
      </c>
      <c r="H273" s="290" t="s">
        <v>46</v>
      </c>
      <c r="I273" s="290">
        <v>0.9</v>
      </c>
      <c r="J273" s="290">
        <v>8.8000000000000007</v>
      </c>
      <c r="K273" s="290" t="s">
        <v>46</v>
      </c>
      <c r="L273" s="290" t="s">
        <v>46</v>
      </c>
      <c r="M273" s="290">
        <v>12.7</v>
      </c>
      <c r="N273" s="290" t="s">
        <v>46</v>
      </c>
      <c r="O273" s="290" t="s">
        <v>46</v>
      </c>
      <c r="P273" s="290">
        <v>37400</v>
      </c>
      <c r="Q273" s="290">
        <f t="shared" si="9"/>
        <v>39325.4</v>
      </c>
      <c r="R273" s="270"/>
      <c r="S273" s="270"/>
      <c r="T273" s="270">
        <v>11000</v>
      </c>
      <c r="U273" s="271" t="s">
        <v>101</v>
      </c>
      <c r="V273" s="280"/>
    </row>
    <row r="274" spans="1:22">
      <c r="A274" s="287">
        <v>1</v>
      </c>
      <c r="B274" s="288" t="s">
        <v>64</v>
      </c>
      <c r="C274" s="289">
        <v>2</v>
      </c>
      <c r="D274" s="359">
        <v>44852</v>
      </c>
      <c r="E274" s="290" t="s">
        <v>46</v>
      </c>
      <c r="F274" s="290">
        <v>16.600000000000001</v>
      </c>
      <c r="G274" s="290">
        <v>367</v>
      </c>
      <c r="H274" s="290" t="s">
        <v>46</v>
      </c>
      <c r="I274" s="290" t="s">
        <v>36</v>
      </c>
      <c r="J274" s="290">
        <v>1.3</v>
      </c>
      <c r="K274" s="290" t="s">
        <v>46</v>
      </c>
      <c r="L274" s="290" t="s">
        <v>46</v>
      </c>
      <c r="M274" s="290" t="s">
        <v>46</v>
      </c>
      <c r="N274" s="290" t="s">
        <v>46</v>
      </c>
      <c r="O274" s="290" t="s">
        <v>46</v>
      </c>
      <c r="P274" s="290">
        <v>402</v>
      </c>
      <c r="Q274" s="290">
        <f t="shared" si="9"/>
        <v>786.90000000000009</v>
      </c>
      <c r="R274" s="270"/>
      <c r="S274" s="270"/>
      <c r="T274" s="270">
        <v>1010</v>
      </c>
      <c r="U274" s="271" t="s">
        <v>101</v>
      </c>
      <c r="V274" s="280"/>
    </row>
    <row r="275" spans="1:22">
      <c r="A275" s="287">
        <v>1</v>
      </c>
      <c r="B275" s="288" t="s">
        <v>64</v>
      </c>
      <c r="C275" s="289">
        <v>2</v>
      </c>
      <c r="D275" s="359">
        <v>44796</v>
      </c>
      <c r="E275" s="290" t="s">
        <v>46</v>
      </c>
      <c r="F275" s="290">
        <v>19.8</v>
      </c>
      <c r="G275" s="290">
        <v>124</v>
      </c>
      <c r="H275" s="290" t="s">
        <v>46</v>
      </c>
      <c r="I275" s="290" t="s">
        <v>36</v>
      </c>
      <c r="J275" s="290">
        <v>0.4</v>
      </c>
      <c r="K275" s="290" t="s">
        <v>46</v>
      </c>
      <c r="L275" s="290">
        <v>11.4</v>
      </c>
      <c r="M275" s="290" t="s">
        <v>46</v>
      </c>
      <c r="N275" s="290" t="s">
        <v>46</v>
      </c>
      <c r="O275" s="290" t="s">
        <v>46</v>
      </c>
      <c r="P275" s="290">
        <v>1080</v>
      </c>
      <c r="Q275" s="290">
        <f t="shared" si="9"/>
        <v>1235.5999999999999</v>
      </c>
      <c r="R275" s="270"/>
      <c r="S275" s="270"/>
      <c r="T275" s="270">
        <v>1210</v>
      </c>
      <c r="U275" s="271" t="s">
        <v>101</v>
      </c>
      <c r="V275" s="280"/>
    </row>
    <row r="276" spans="1:22">
      <c r="A276" s="287">
        <v>1</v>
      </c>
      <c r="B276" s="288" t="s">
        <v>64</v>
      </c>
      <c r="C276" s="289">
        <v>2</v>
      </c>
      <c r="D276" s="359">
        <v>44747</v>
      </c>
      <c r="E276" s="290">
        <v>28.1</v>
      </c>
      <c r="F276" s="290">
        <v>20800</v>
      </c>
      <c r="G276" s="290">
        <v>366</v>
      </c>
      <c r="H276" s="290" t="s">
        <v>46</v>
      </c>
      <c r="I276" s="290" t="s">
        <v>36</v>
      </c>
      <c r="J276" s="290">
        <v>14.9</v>
      </c>
      <c r="K276" s="290" t="s">
        <v>46</v>
      </c>
      <c r="L276" s="290">
        <v>1.4</v>
      </c>
      <c r="M276" s="290" t="s">
        <v>46</v>
      </c>
      <c r="N276" s="290" t="s">
        <v>46</v>
      </c>
      <c r="O276" s="290" t="s">
        <v>46</v>
      </c>
      <c r="P276" s="290">
        <v>4880</v>
      </c>
      <c r="Q276" s="290">
        <f t="shared" si="9"/>
        <v>26090.400000000001</v>
      </c>
      <c r="R276" s="270"/>
      <c r="S276" s="270"/>
      <c r="T276" s="270">
        <v>60</v>
      </c>
      <c r="U276" s="271" t="s">
        <v>101</v>
      </c>
      <c r="V276" s="280" t="s">
        <v>46</v>
      </c>
    </row>
    <row r="277" spans="1:22">
      <c r="A277" s="287">
        <v>1</v>
      </c>
      <c r="B277" s="288" t="s">
        <v>64</v>
      </c>
      <c r="C277" s="289">
        <v>2</v>
      </c>
      <c r="D277" s="359">
        <v>44720</v>
      </c>
      <c r="E277" s="290">
        <v>1</v>
      </c>
      <c r="F277" s="290">
        <v>608</v>
      </c>
      <c r="G277" s="290">
        <v>47</v>
      </c>
      <c r="H277" s="290" t="s">
        <v>46</v>
      </c>
      <c r="I277" s="290" t="s">
        <v>36</v>
      </c>
      <c r="J277" s="290" t="s">
        <v>48</v>
      </c>
      <c r="K277" s="290" t="s">
        <v>46</v>
      </c>
      <c r="L277" s="290" t="s">
        <v>46</v>
      </c>
      <c r="M277" s="290" t="s">
        <v>46</v>
      </c>
      <c r="N277" s="290" t="s">
        <v>46</v>
      </c>
      <c r="O277" s="290" t="s">
        <v>46</v>
      </c>
      <c r="P277" s="290">
        <v>252</v>
      </c>
      <c r="Q277" s="290">
        <f t="shared" si="9"/>
        <v>908</v>
      </c>
      <c r="R277" s="270"/>
      <c r="S277" s="270"/>
      <c r="T277" s="270" t="s">
        <v>101</v>
      </c>
      <c r="U277" s="271" t="s">
        <v>101</v>
      </c>
      <c r="V277" s="280"/>
    </row>
    <row r="278" spans="1:22">
      <c r="A278" s="287">
        <v>1</v>
      </c>
      <c r="B278" s="288" t="s">
        <v>64</v>
      </c>
      <c r="C278" s="289">
        <v>2</v>
      </c>
      <c r="D278" s="359">
        <v>44704</v>
      </c>
      <c r="E278" s="290" t="s">
        <v>46</v>
      </c>
      <c r="F278" s="290">
        <v>36.5</v>
      </c>
      <c r="G278" s="290">
        <v>1.9</v>
      </c>
      <c r="H278" s="290" t="s">
        <v>46</v>
      </c>
      <c r="I278" s="290" t="s">
        <v>36</v>
      </c>
      <c r="J278" s="290" t="s">
        <v>48</v>
      </c>
      <c r="K278" s="290" t="s">
        <v>46</v>
      </c>
      <c r="L278" s="290" t="s">
        <v>46</v>
      </c>
      <c r="M278" s="290" t="s">
        <v>46</v>
      </c>
      <c r="N278" s="290" t="s">
        <v>46</v>
      </c>
      <c r="O278" s="290" t="s">
        <v>46</v>
      </c>
      <c r="P278" s="290">
        <v>7.9</v>
      </c>
      <c r="Q278" s="290">
        <f t="shared" si="9"/>
        <v>46.3</v>
      </c>
      <c r="R278" s="270" t="s">
        <v>36</v>
      </c>
      <c r="S278" s="270">
        <v>1000</v>
      </c>
      <c r="T278" s="270" t="s">
        <v>101</v>
      </c>
      <c r="U278" s="271" t="s">
        <v>101</v>
      </c>
      <c r="V278" s="280"/>
    </row>
    <row r="279" spans="1:22">
      <c r="A279" s="287">
        <v>1</v>
      </c>
      <c r="B279" s="288" t="s">
        <v>64</v>
      </c>
      <c r="C279" s="289">
        <v>2</v>
      </c>
      <c r="D279" s="359">
        <v>44676</v>
      </c>
      <c r="E279" s="290" t="s">
        <v>46</v>
      </c>
      <c r="F279" s="290">
        <v>14.7</v>
      </c>
      <c r="G279" s="290" t="s">
        <v>46</v>
      </c>
      <c r="H279" s="290" t="s">
        <v>46</v>
      </c>
      <c r="I279" s="290" t="s">
        <v>36</v>
      </c>
      <c r="J279" s="290" t="s">
        <v>48</v>
      </c>
      <c r="K279" s="290" t="s">
        <v>46</v>
      </c>
      <c r="L279" s="290" t="s">
        <v>46</v>
      </c>
      <c r="M279" s="290" t="s">
        <v>46</v>
      </c>
      <c r="N279" s="290" t="s">
        <v>46</v>
      </c>
      <c r="O279" s="290" t="s">
        <v>46</v>
      </c>
      <c r="P279" s="290" t="s">
        <v>33</v>
      </c>
      <c r="Q279" s="290">
        <f t="shared" si="9"/>
        <v>14.7</v>
      </c>
      <c r="R279" s="270"/>
      <c r="S279" s="270"/>
      <c r="T279" s="270"/>
      <c r="U279" s="271"/>
      <c r="V279" s="280"/>
    </row>
    <row r="280" spans="1:22">
      <c r="A280" s="287">
        <v>1</v>
      </c>
      <c r="B280" s="288" t="s">
        <v>64</v>
      </c>
      <c r="C280" s="289">
        <v>2</v>
      </c>
      <c r="D280" s="359">
        <v>44641</v>
      </c>
      <c r="E280" s="290" t="s">
        <v>46</v>
      </c>
      <c r="F280" s="290">
        <v>24.7</v>
      </c>
      <c r="G280" s="290">
        <v>2.6</v>
      </c>
      <c r="H280" s="290" t="s">
        <v>46</v>
      </c>
      <c r="I280" s="290" t="s">
        <v>36</v>
      </c>
      <c r="J280" s="290" t="s">
        <v>48</v>
      </c>
      <c r="K280" s="290" t="s">
        <v>46</v>
      </c>
      <c r="L280" s="290">
        <v>9.9</v>
      </c>
      <c r="M280" s="290" t="s">
        <v>46</v>
      </c>
      <c r="N280" s="290" t="s">
        <v>46</v>
      </c>
      <c r="O280" s="290">
        <v>1.3</v>
      </c>
      <c r="P280" s="290">
        <v>24</v>
      </c>
      <c r="Q280" s="290">
        <f t="shared" si="9"/>
        <v>62.5</v>
      </c>
      <c r="R280" s="270"/>
      <c r="S280" s="270"/>
      <c r="T280" s="270" t="s">
        <v>101</v>
      </c>
      <c r="U280" s="271" t="s">
        <v>101</v>
      </c>
      <c r="V280" s="280"/>
    </row>
    <row r="281" spans="1:22">
      <c r="A281" s="287">
        <v>1</v>
      </c>
      <c r="B281" s="288" t="s">
        <v>64</v>
      </c>
      <c r="C281" s="289">
        <v>2</v>
      </c>
      <c r="D281" s="359">
        <v>44613</v>
      </c>
      <c r="E281" s="290" t="s">
        <v>46</v>
      </c>
      <c r="F281" s="290">
        <v>11.1</v>
      </c>
      <c r="G281" s="290" t="s">
        <v>46</v>
      </c>
      <c r="H281" s="290" t="s">
        <v>46</v>
      </c>
      <c r="I281" s="290" t="s">
        <v>36</v>
      </c>
      <c r="J281" s="290" t="s">
        <v>48</v>
      </c>
      <c r="K281" s="290" t="s">
        <v>46</v>
      </c>
      <c r="L281" s="290" t="s">
        <v>46</v>
      </c>
      <c r="M281" s="290" t="s">
        <v>46</v>
      </c>
      <c r="N281" s="290" t="s">
        <v>46</v>
      </c>
      <c r="O281" s="290" t="s">
        <v>46</v>
      </c>
      <c r="P281" s="290">
        <v>1.4</v>
      </c>
      <c r="Q281" s="290">
        <f t="shared" si="9"/>
        <v>12.5</v>
      </c>
      <c r="R281" s="270"/>
      <c r="S281" s="270"/>
      <c r="T281" s="270" t="s">
        <v>101</v>
      </c>
      <c r="U281" s="271" t="s">
        <v>101</v>
      </c>
      <c r="V281" s="280"/>
    </row>
    <row r="282" spans="1:22">
      <c r="A282" s="287">
        <v>1</v>
      </c>
      <c r="B282" s="288" t="s">
        <v>64</v>
      </c>
      <c r="C282" s="289">
        <v>2</v>
      </c>
      <c r="D282" s="359">
        <v>44586</v>
      </c>
      <c r="E282" s="290" t="s">
        <v>46</v>
      </c>
      <c r="F282" s="290">
        <v>32.1</v>
      </c>
      <c r="G282" s="290">
        <v>2.8</v>
      </c>
      <c r="H282" s="290" t="s">
        <v>46</v>
      </c>
      <c r="I282" s="290" t="s">
        <v>36</v>
      </c>
      <c r="J282" s="290" t="s">
        <v>48</v>
      </c>
      <c r="K282" s="290" t="s">
        <v>46</v>
      </c>
      <c r="L282" s="290">
        <v>14.2</v>
      </c>
      <c r="M282" s="290" t="s">
        <v>46</v>
      </c>
      <c r="N282" s="290" t="s">
        <v>46</v>
      </c>
      <c r="O282" s="290">
        <v>1.8</v>
      </c>
      <c r="P282" s="290">
        <v>10.3</v>
      </c>
      <c r="Q282" s="290">
        <f t="shared" si="9"/>
        <v>61.199999999999989</v>
      </c>
      <c r="R282" s="270"/>
      <c r="S282" s="270"/>
      <c r="T282" s="270" t="s">
        <v>101</v>
      </c>
      <c r="U282" s="271" t="s">
        <v>101</v>
      </c>
      <c r="V282" s="280"/>
    </row>
    <row r="283" spans="1:22">
      <c r="A283" s="287">
        <v>1</v>
      </c>
      <c r="B283" s="288" t="s">
        <v>64</v>
      </c>
      <c r="C283" s="289">
        <v>2</v>
      </c>
      <c r="D283" s="359">
        <v>44543</v>
      </c>
      <c r="E283" s="290" t="s">
        <v>46</v>
      </c>
      <c r="F283" s="290">
        <v>19.8</v>
      </c>
      <c r="G283" s="290">
        <v>1.1000000000000001</v>
      </c>
      <c r="H283" s="290" t="s">
        <v>46</v>
      </c>
      <c r="I283" s="290" t="s">
        <v>36</v>
      </c>
      <c r="J283" s="290" t="s">
        <v>48</v>
      </c>
      <c r="K283" s="290" t="s">
        <v>46</v>
      </c>
      <c r="L283" s="290">
        <v>1.4</v>
      </c>
      <c r="M283" s="290" t="s">
        <v>46</v>
      </c>
      <c r="N283" s="290" t="s">
        <v>46</v>
      </c>
      <c r="O283" s="290" t="s">
        <v>46</v>
      </c>
      <c r="P283" s="290">
        <v>1.8</v>
      </c>
      <c r="Q283" s="290">
        <f t="shared" si="9"/>
        <v>24.1</v>
      </c>
      <c r="R283" s="270"/>
      <c r="S283" s="270"/>
      <c r="T283" s="270" t="s">
        <v>101</v>
      </c>
      <c r="U283" s="271"/>
      <c r="V283" s="280"/>
    </row>
    <row r="284" spans="1:22">
      <c r="A284" s="287">
        <v>1</v>
      </c>
      <c r="B284" s="288" t="s">
        <v>64</v>
      </c>
      <c r="C284" s="289">
        <v>2</v>
      </c>
      <c r="D284" s="359">
        <v>44515</v>
      </c>
      <c r="E284" s="290" t="s">
        <v>46</v>
      </c>
      <c r="F284" s="290">
        <v>28.5</v>
      </c>
      <c r="G284" s="290">
        <v>1.9</v>
      </c>
      <c r="H284" s="290" t="s">
        <v>46</v>
      </c>
      <c r="I284" s="290" t="s">
        <v>36</v>
      </c>
      <c r="J284" s="290" t="s">
        <v>48</v>
      </c>
      <c r="K284" s="290" t="s">
        <v>46</v>
      </c>
      <c r="L284" s="290">
        <v>2.5</v>
      </c>
      <c r="M284" s="290" t="s">
        <v>46</v>
      </c>
      <c r="N284" s="290" t="s">
        <v>46</v>
      </c>
      <c r="O284" s="290" t="s">
        <v>46</v>
      </c>
      <c r="P284" s="290">
        <v>2.9</v>
      </c>
      <c r="Q284" s="290">
        <f t="shared" si="9"/>
        <v>35.799999999999997</v>
      </c>
      <c r="R284" s="270"/>
      <c r="S284" s="270"/>
      <c r="T284" s="270" t="s">
        <v>101</v>
      </c>
      <c r="U284" s="271" t="s">
        <v>101</v>
      </c>
      <c r="V284" s="280"/>
    </row>
    <row r="285" spans="1:22">
      <c r="A285" s="287">
        <v>1</v>
      </c>
      <c r="B285" s="288" t="s">
        <v>64</v>
      </c>
      <c r="C285" s="289">
        <v>2</v>
      </c>
      <c r="D285" s="359">
        <v>44489</v>
      </c>
      <c r="E285" s="290" t="s">
        <v>46</v>
      </c>
      <c r="F285" s="290">
        <v>19.5</v>
      </c>
      <c r="G285" s="290">
        <v>1.4</v>
      </c>
      <c r="H285" s="290" t="s">
        <v>46</v>
      </c>
      <c r="I285" s="290" t="s">
        <v>36</v>
      </c>
      <c r="J285" s="290" t="s">
        <v>48</v>
      </c>
      <c r="K285" s="290" t="s">
        <v>46</v>
      </c>
      <c r="L285" s="290" t="s">
        <v>46</v>
      </c>
      <c r="M285" s="290" t="s">
        <v>46</v>
      </c>
      <c r="N285" s="290" t="s">
        <v>46</v>
      </c>
      <c r="O285" s="290" t="s">
        <v>46</v>
      </c>
      <c r="P285" s="290">
        <v>1.8</v>
      </c>
      <c r="Q285" s="290">
        <f t="shared" si="9"/>
        <v>22.7</v>
      </c>
      <c r="R285" s="270"/>
      <c r="S285" s="270"/>
      <c r="T285" s="270"/>
      <c r="U285" s="271"/>
      <c r="V285" s="280"/>
    </row>
    <row r="286" spans="1:22">
      <c r="A286" s="287">
        <v>1</v>
      </c>
      <c r="B286" s="288" t="s">
        <v>64</v>
      </c>
      <c r="C286" s="289">
        <v>2</v>
      </c>
      <c r="D286" s="359">
        <v>44466</v>
      </c>
      <c r="E286" s="290" t="s">
        <v>46</v>
      </c>
      <c r="F286" s="290">
        <v>5.9</v>
      </c>
      <c r="G286" s="290">
        <v>1.1000000000000001</v>
      </c>
      <c r="H286" s="290" t="s">
        <v>46</v>
      </c>
      <c r="I286" s="290" t="s">
        <v>36</v>
      </c>
      <c r="J286" s="290" t="s">
        <v>48</v>
      </c>
      <c r="K286" s="290" t="s">
        <v>46</v>
      </c>
      <c r="L286" s="290" t="s">
        <v>46</v>
      </c>
      <c r="M286" s="290" t="s">
        <v>46</v>
      </c>
      <c r="N286" s="290" t="s">
        <v>46</v>
      </c>
      <c r="O286" s="290" t="s">
        <v>46</v>
      </c>
      <c r="P286" s="290">
        <v>2.1</v>
      </c>
      <c r="Q286" s="290">
        <f t="shared" si="9"/>
        <v>9.1</v>
      </c>
      <c r="R286" s="270"/>
      <c r="S286" s="270"/>
      <c r="T286" s="270"/>
      <c r="U286" s="271"/>
      <c r="V286" s="280"/>
    </row>
    <row r="287" spans="1:22">
      <c r="A287" s="287">
        <v>1</v>
      </c>
      <c r="B287" s="288" t="s">
        <v>64</v>
      </c>
      <c r="C287" s="289">
        <v>2</v>
      </c>
      <c r="D287" s="359">
        <v>44431</v>
      </c>
      <c r="E287" s="290" t="s">
        <v>46</v>
      </c>
      <c r="F287" s="290">
        <v>4</v>
      </c>
      <c r="G287" s="290">
        <v>1</v>
      </c>
      <c r="H287" s="290" t="s">
        <v>46</v>
      </c>
      <c r="I287" s="290" t="s">
        <v>36</v>
      </c>
      <c r="J287" s="290" t="s">
        <v>48</v>
      </c>
      <c r="K287" s="290" t="s">
        <v>46</v>
      </c>
      <c r="L287" s="290" t="s">
        <v>46</v>
      </c>
      <c r="M287" s="290" t="s">
        <v>46</v>
      </c>
      <c r="N287" s="290" t="s">
        <v>46</v>
      </c>
      <c r="O287" s="290" t="s">
        <v>46</v>
      </c>
      <c r="P287" s="290">
        <v>1.3</v>
      </c>
      <c r="Q287" s="290">
        <f t="shared" si="9"/>
        <v>6.3</v>
      </c>
      <c r="R287" s="270"/>
      <c r="S287" s="270"/>
      <c r="T287" s="270"/>
      <c r="U287" s="271"/>
      <c r="V287" s="280"/>
    </row>
    <row r="288" spans="1:22">
      <c r="A288" s="287">
        <v>1</v>
      </c>
      <c r="B288" s="288" t="s">
        <v>64</v>
      </c>
      <c r="C288" s="289">
        <v>2</v>
      </c>
      <c r="D288" s="359">
        <v>44406</v>
      </c>
      <c r="E288" s="290" t="s">
        <v>46</v>
      </c>
      <c r="F288" s="290">
        <v>65.2</v>
      </c>
      <c r="G288" s="290">
        <v>1.9</v>
      </c>
      <c r="H288" s="290" t="s">
        <v>46</v>
      </c>
      <c r="I288" s="290" t="s">
        <v>36</v>
      </c>
      <c r="J288" s="290" t="s">
        <v>48</v>
      </c>
      <c r="K288" s="290" t="s">
        <v>46</v>
      </c>
      <c r="L288" s="290">
        <v>15.9</v>
      </c>
      <c r="M288" s="290" t="s">
        <v>46</v>
      </c>
      <c r="N288" s="290" t="s">
        <v>46</v>
      </c>
      <c r="O288" s="290">
        <v>1.4</v>
      </c>
      <c r="P288" s="290">
        <v>2.7</v>
      </c>
      <c r="Q288" s="290">
        <f t="shared" si="9"/>
        <v>87.100000000000023</v>
      </c>
      <c r="R288" s="270"/>
      <c r="S288" s="270"/>
      <c r="T288" s="270"/>
      <c r="U288" s="271"/>
      <c r="V288" s="280"/>
    </row>
    <row r="289" spans="1:22">
      <c r="A289" s="287">
        <v>1</v>
      </c>
      <c r="B289" s="288" t="s">
        <v>64</v>
      </c>
      <c r="C289" s="289">
        <v>2</v>
      </c>
      <c r="D289" s="359">
        <v>44341</v>
      </c>
      <c r="E289" s="290" t="s">
        <v>46</v>
      </c>
      <c r="F289" s="290">
        <v>46.3</v>
      </c>
      <c r="G289" s="290">
        <v>3.6</v>
      </c>
      <c r="H289" s="290" t="s">
        <v>46</v>
      </c>
      <c r="I289" s="290" t="s">
        <v>36</v>
      </c>
      <c r="J289" s="290" t="s">
        <v>48</v>
      </c>
      <c r="K289" s="290" t="s">
        <v>46</v>
      </c>
      <c r="L289" s="290">
        <v>46.9</v>
      </c>
      <c r="M289" s="290" t="s">
        <v>46</v>
      </c>
      <c r="N289" s="290" t="s">
        <v>46</v>
      </c>
      <c r="O289" s="290">
        <v>1.6</v>
      </c>
      <c r="P289" s="290">
        <v>10.5</v>
      </c>
      <c r="Q289" s="290">
        <f t="shared" si="9"/>
        <v>108.89999999999999</v>
      </c>
      <c r="R289" s="270"/>
      <c r="S289" s="273">
        <v>602</v>
      </c>
      <c r="T289" s="273"/>
      <c r="U289" s="274"/>
      <c r="V289" s="265"/>
    </row>
    <row r="290" spans="1:22">
      <c r="A290" s="287">
        <v>1</v>
      </c>
      <c r="B290" s="288" t="s">
        <v>64</v>
      </c>
      <c r="C290" s="289">
        <v>2</v>
      </c>
      <c r="D290" s="359">
        <v>44312</v>
      </c>
      <c r="E290" s="290" t="s">
        <v>46</v>
      </c>
      <c r="F290" s="290">
        <v>47.8</v>
      </c>
      <c r="G290" s="290">
        <v>2.8</v>
      </c>
      <c r="H290" s="290" t="s">
        <v>46</v>
      </c>
      <c r="I290" s="290" t="s">
        <v>36</v>
      </c>
      <c r="J290" s="290" t="s">
        <v>48</v>
      </c>
      <c r="K290" s="290" t="s">
        <v>46</v>
      </c>
      <c r="L290" s="290">
        <v>30.7</v>
      </c>
      <c r="M290" s="290" t="s">
        <v>46</v>
      </c>
      <c r="N290" s="290" t="s">
        <v>46</v>
      </c>
      <c r="O290" s="290" t="s">
        <v>46</v>
      </c>
      <c r="P290" s="290">
        <v>13.9</v>
      </c>
      <c r="Q290" s="290">
        <f t="shared" si="9"/>
        <v>95.2</v>
      </c>
      <c r="R290" s="270"/>
      <c r="S290" s="270"/>
      <c r="T290" s="270"/>
      <c r="U290" s="271"/>
      <c r="V290" s="280"/>
    </row>
    <row r="291" spans="1:22">
      <c r="A291" s="287">
        <v>1</v>
      </c>
      <c r="B291" s="288" t="s">
        <v>64</v>
      </c>
      <c r="C291" s="289">
        <v>2</v>
      </c>
      <c r="D291" s="359">
        <v>44280</v>
      </c>
      <c r="E291" s="290" t="s">
        <v>46</v>
      </c>
      <c r="F291" s="290">
        <v>46.2</v>
      </c>
      <c r="G291" s="290">
        <v>2.7</v>
      </c>
      <c r="H291" s="290" t="s">
        <v>46</v>
      </c>
      <c r="I291" s="290" t="s">
        <v>36</v>
      </c>
      <c r="J291" s="290" t="s">
        <v>48</v>
      </c>
      <c r="K291" s="290" t="s">
        <v>46</v>
      </c>
      <c r="L291" s="290">
        <v>13.3</v>
      </c>
      <c r="M291" s="290" t="s">
        <v>46</v>
      </c>
      <c r="N291" s="290" t="s">
        <v>46</v>
      </c>
      <c r="O291" s="290" t="s">
        <v>46</v>
      </c>
      <c r="P291" s="290">
        <v>20.100000000000001</v>
      </c>
      <c r="Q291" s="290">
        <f t="shared" si="9"/>
        <v>82.300000000000011</v>
      </c>
      <c r="R291" s="270"/>
      <c r="S291" s="270"/>
      <c r="T291" s="270"/>
      <c r="U291" s="271"/>
      <c r="V291" s="280"/>
    </row>
    <row r="292" spans="1:22">
      <c r="A292" s="287">
        <v>1</v>
      </c>
      <c r="B292" s="288" t="s">
        <v>64</v>
      </c>
      <c r="C292" s="289">
        <v>2</v>
      </c>
      <c r="D292" s="359">
        <v>44249</v>
      </c>
      <c r="E292" s="290" t="s">
        <v>46</v>
      </c>
      <c r="F292" s="290">
        <v>41.4</v>
      </c>
      <c r="G292" s="290">
        <v>1.8</v>
      </c>
      <c r="H292" s="290" t="s">
        <v>46</v>
      </c>
      <c r="I292" s="290" t="s">
        <v>36</v>
      </c>
      <c r="J292" s="290" t="s">
        <v>48</v>
      </c>
      <c r="K292" s="290" t="s">
        <v>46</v>
      </c>
      <c r="L292" s="290">
        <v>8.4</v>
      </c>
      <c r="M292" s="290" t="s">
        <v>46</v>
      </c>
      <c r="N292" s="290" t="s">
        <v>46</v>
      </c>
      <c r="O292" s="290" t="s">
        <v>46</v>
      </c>
      <c r="P292" s="290">
        <v>6.5</v>
      </c>
      <c r="Q292" s="290">
        <f t="shared" si="9"/>
        <v>58.099999999999994</v>
      </c>
      <c r="R292" s="270"/>
      <c r="S292" s="270"/>
      <c r="T292" s="270"/>
      <c r="U292" s="271"/>
      <c r="V292" s="280"/>
    </row>
    <row r="293" spans="1:22">
      <c r="A293" s="287">
        <v>1</v>
      </c>
      <c r="B293" s="288" t="s">
        <v>64</v>
      </c>
      <c r="C293" s="289">
        <v>2</v>
      </c>
      <c r="D293" s="359">
        <v>44217</v>
      </c>
      <c r="E293" s="290" t="s">
        <v>46</v>
      </c>
      <c r="F293" s="290">
        <v>104</v>
      </c>
      <c r="G293" s="290">
        <v>4.4000000000000004</v>
      </c>
      <c r="H293" s="290" t="s">
        <v>46</v>
      </c>
      <c r="I293" s="290">
        <v>1</v>
      </c>
      <c r="J293" s="290">
        <v>0.5</v>
      </c>
      <c r="K293" s="290" t="s">
        <v>46</v>
      </c>
      <c r="L293" s="290">
        <v>5.7</v>
      </c>
      <c r="M293" s="290" t="s">
        <v>46</v>
      </c>
      <c r="N293" s="290" t="s">
        <v>46</v>
      </c>
      <c r="O293" s="290" t="s">
        <v>46</v>
      </c>
      <c r="P293" s="290">
        <v>19.3</v>
      </c>
      <c r="Q293" s="290">
        <f t="shared" si="9"/>
        <v>134.9</v>
      </c>
      <c r="R293" s="270"/>
      <c r="S293" s="270"/>
      <c r="T293" s="270"/>
      <c r="U293" s="271"/>
      <c r="V293" s="280"/>
    </row>
    <row r="294" spans="1:22">
      <c r="A294" s="287">
        <v>1</v>
      </c>
      <c r="B294" s="288" t="s">
        <v>64</v>
      </c>
      <c r="C294" s="289">
        <v>2</v>
      </c>
      <c r="D294" s="359">
        <v>44186</v>
      </c>
      <c r="E294" s="290"/>
      <c r="F294" s="290">
        <v>276</v>
      </c>
      <c r="G294" s="290">
        <v>5.2</v>
      </c>
      <c r="H294" s="290"/>
      <c r="I294" s="290" t="s">
        <v>36</v>
      </c>
      <c r="J294" s="290" t="s">
        <v>48</v>
      </c>
      <c r="K294" s="290"/>
      <c r="L294" s="290">
        <v>4.5999999999999996</v>
      </c>
      <c r="M294" s="290"/>
      <c r="N294" s="290"/>
      <c r="O294" s="290"/>
      <c r="P294" s="290">
        <v>44.9</v>
      </c>
      <c r="Q294" s="290">
        <f t="shared" si="9"/>
        <v>330.7</v>
      </c>
      <c r="R294" s="270"/>
      <c r="S294" s="270"/>
      <c r="T294" s="270"/>
      <c r="U294" s="271"/>
      <c r="V294" s="280"/>
    </row>
    <row r="295" spans="1:22">
      <c r="A295" s="287">
        <v>1</v>
      </c>
      <c r="B295" s="288" t="s">
        <v>64</v>
      </c>
      <c r="C295" s="289">
        <v>2</v>
      </c>
      <c r="D295" s="359">
        <v>44174</v>
      </c>
      <c r="E295" s="290" t="s">
        <v>46</v>
      </c>
      <c r="F295" s="290">
        <v>235</v>
      </c>
      <c r="G295" s="290">
        <v>9.1</v>
      </c>
      <c r="H295" s="290" t="s">
        <v>46</v>
      </c>
      <c r="I295" s="290" t="s">
        <v>36</v>
      </c>
      <c r="J295" s="290">
        <v>1.2</v>
      </c>
      <c r="K295" s="290" t="s">
        <v>46</v>
      </c>
      <c r="L295" s="290">
        <v>13.4</v>
      </c>
      <c r="M295" s="290" t="s">
        <v>46</v>
      </c>
      <c r="N295" s="290">
        <v>2.6</v>
      </c>
      <c r="O295" s="290" t="s">
        <v>46</v>
      </c>
      <c r="P295" s="290">
        <v>141</v>
      </c>
      <c r="Q295" s="290">
        <f t="shared" si="9"/>
        <v>402.3</v>
      </c>
      <c r="R295" s="270"/>
      <c r="S295" s="270"/>
      <c r="T295" s="270"/>
      <c r="U295" s="271"/>
      <c r="V295" s="280"/>
    </row>
    <row r="296" spans="1:22" ht="15" thickBot="1">
      <c r="A296" s="308">
        <v>1</v>
      </c>
      <c r="B296" s="309" t="s">
        <v>64</v>
      </c>
      <c r="C296" s="310">
        <v>2</v>
      </c>
      <c r="D296" s="362">
        <v>44160</v>
      </c>
      <c r="E296" s="311">
        <v>1.4</v>
      </c>
      <c r="F296" s="311">
        <v>592</v>
      </c>
      <c r="G296" s="311">
        <v>14.4</v>
      </c>
      <c r="H296" s="311" t="s">
        <v>46</v>
      </c>
      <c r="I296" s="311" t="s">
        <v>36</v>
      </c>
      <c r="J296" s="311">
        <v>3.8</v>
      </c>
      <c r="K296" s="311" t="s">
        <v>46</v>
      </c>
      <c r="L296" s="311">
        <v>39.4</v>
      </c>
      <c r="M296" s="311">
        <v>1.3</v>
      </c>
      <c r="N296" s="311" t="s">
        <v>46</v>
      </c>
      <c r="O296" s="311">
        <v>2</v>
      </c>
      <c r="P296" s="311">
        <v>73.8</v>
      </c>
      <c r="Q296" s="311">
        <f t="shared" si="9"/>
        <v>728.0999999999998</v>
      </c>
      <c r="R296" s="295"/>
      <c r="S296" s="295"/>
      <c r="T296" s="295"/>
      <c r="U296" s="296"/>
      <c r="V296" s="280"/>
    </row>
    <row r="297" spans="1:22" ht="15" thickBot="1">
      <c r="A297" s="321"/>
      <c r="C297" s="322"/>
      <c r="E297" s="265"/>
      <c r="F297" s="265"/>
      <c r="G297" s="265"/>
      <c r="H297" s="265"/>
      <c r="I297" s="265"/>
      <c r="J297" s="265"/>
      <c r="K297" s="265"/>
      <c r="L297" s="265"/>
      <c r="M297" s="265"/>
      <c r="N297" s="265"/>
      <c r="O297" s="265"/>
      <c r="P297" s="265"/>
      <c r="Q297" s="265"/>
      <c r="R297" s="280"/>
      <c r="S297" s="280"/>
      <c r="T297" s="280"/>
      <c r="U297" s="280"/>
      <c r="V297" s="280"/>
    </row>
    <row r="298" spans="1:22">
      <c r="A298" s="258">
        <v>2</v>
      </c>
      <c r="B298" s="259" t="s">
        <v>64</v>
      </c>
      <c r="C298" s="260">
        <v>3</v>
      </c>
      <c r="D298" s="355">
        <v>46085</v>
      </c>
      <c r="E298" s="262" t="s">
        <v>46</v>
      </c>
      <c r="F298" s="261">
        <v>29</v>
      </c>
      <c r="G298" s="262">
        <v>228</v>
      </c>
      <c r="H298" s="262" t="s">
        <v>46</v>
      </c>
      <c r="I298" s="262">
        <v>2.2000000000000002</v>
      </c>
      <c r="J298" s="262">
        <v>6.6</v>
      </c>
      <c r="K298" s="262" t="s">
        <v>46</v>
      </c>
      <c r="L298" s="262">
        <v>3.4</v>
      </c>
      <c r="M298" s="262" t="s">
        <v>46</v>
      </c>
      <c r="N298" s="262">
        <v>1.1000000000000001</v>
      </c>
      <c r="O298" s="262">
        <v>13.2</v>
      </c>
      <c r="P298" s="262">
        <v>15.3</v>
      </c>
      <c r="Q298" s="262">
        <f t="shared" ref="Q298:Q313" si="10">SUM(E298:P298)</f>
        <v>298.8</v>
      </c>
      <c r="R298" s="285"/>
      <c r="S298" s="285"/>
      <c r="T298" s="285">
        <v>26800</v>
      </c>
      <c r="U298" s="286"/>
      <c r="V298" s="280"/>
    </row>
    <row r="299" spans="1:22">
      <c r="A299" s="266">
        <v>2</v>
      </c>
      <c r="B299" s="267" t="s">
        <v>64</v>
      </c>
      <c r="C299" s="268">
        <v>3</v>
      </c>
      <c r="D299" s="356">
        <v>46056</v>
      </c>
      <c r="E299" s="269" t="s">
        <v>46</v>
      </c>
      <c r="F299" s="272">
        <v>27.6</v>
      </c>
      <c r="G299" s="269">
        <v>213</v>
      </c>
      <c r="H299" s="269">
        <v>2.9</v>
      </c>
      <c r="I299" s="269">
        <v>2.2999999999999998</v>
      </c>
      <c r="J299" s="269">
        <v>4.2</v>
      </c>
      <c r="K299" s="269" t="s">
        <v>46</v>
      </c>
      <c r="L299" s="269">
        <v>3.4</v>
      </c>
      <c r="M299" s="269" t="s">
        <v>46</v>
      </c>
      <c r="N299" s="269" t="s">
        <v>46</v>
      </c>
      <c r="O299" s="269" t="s">
        <v>46</v>
      </c>
      <c r="P299" s="269">
        <v>172</v>
      </c>
      <c r="Q299" s="269">
        <f t="shared" si="10"/>
        <v>425.4</v>
      </c>
      <c r="R299" s="270"/>
      <c r="S299" s="270"/>
      <c r="T299" s="270"/>
      <c r="U299" s="271"/>
      <c r="V299" s="280"/>
    </row>
    <row r="300" spans="1:22">
      <c r="A300" s="266">
        <v>2</v>
      </c>
      <c r="B300" s="267" t="s">
        <v>64</v>
      </c>
      <c r="C300" s="268">
        <v>3</v>
      </c>
      <c r="D300" s="356">
        <v>46028</v>
      </c>
      <c r="E300" s="269" t="s">
        <v>46</v>
      </c>
      <c r="F300" s="272">
        <v>13.1</v>
      </c>
      <c r="G300" s="269">
        <v>85.6</v>
      </c>
      <c r="H300" s="269" t="s">
        <v>46</v>
      </c>
      <c r="I300" s="269">
        <v>1.2</v>
      </c>
      <c r="J300" s="269">
        <v>2.5</v>
      </c>
      <c r="K300" s="269" t="s">
        <v>46</v>
      </c>
      <c r="L300" s="269">
        <v>8.9</v>
      </c>
      <c r="M300" s="269" t="s">
        <v>46</v>
      </c>
      <c r="N300" s="269">
        <v>1</v>
      </c>
      <c r="O300" s="269" t="s">
        <v>46</v>
      </c>
      <c r="P300" s="269">
        <v>44.9</v>
      </c>
      <c r="Q300" s="269">
        <f t="shared" si="10"/>
        <v>157.19999999999999</v>
      </c>
      <c r="R300" s="270"/>
      <c r="S300" s="270"/>
      <c r="T300" s="270"/>
      <c r="U300" s="271"/>
      <c r="V300" s="280"/>
    </row>
    <row r="301" spans="1:22">
      <c r="A301" s="266">
        <v>2</v>
      </c>
      <c r="B301" s="267" t="s">
        <v>64</v>
      </c>
      <c r="C301" s="268">
        <v>3</v>
      </c>
      <c r="D301" s="356">
        <v>45992</v>
      </c>
      <c r="E301" s="269">
        <v>15.9</v>
      </c>
      <c r="F301" s="272">
        <v>757</v>
      </c>
      <c r="G301" s="269">
        <v>298</v>
      </c>
      <c r="H301" s="269" t="s">
        <v>46</v>
      </c>
      <c r="I301" s="269">
        <v>1.6</v>
      </c>
      <c r="J301" s="269">
        <v>4.5999999999999996</v>
      </c>
      <c r="K301" s="269" t="s">
        <v>46</v>
      </c>
      <c r="L301" s="269">
        <v>166</v>
      </c>
      <c r="M301" s="269">
        <v>45.3</v>
      </c>
      <c r="N301" s="269">
        <v>82.6</v>
      </c>
      <c r="O301" s="269">
        <v>1210</v>
      </c>
      <c r="P301" s="269">
        <v>12100</v>
      </c>
      <c r="Q301" s="269">
        <f t="shared" si="10"/>
        <v>14681</v>
      </c>
      <c r="R301" s="270"/>
      <c r="S301" s="270"/>
      <c r="T301" s="270"/>
      <c r="U301" s="271"/>
      <c r="V301" s="280"/>
    </row>
    <row r="302" spans="1:22">
      <c r="A302" s="266">
        <v>2</v>
      </c>
      <c r="B302" s="267" t="s">
        <v>64</v>
      </c>
      <c r="C302" s="268">
        <v>3</v>
      </c>
      <c r="D302" s="356">
        <v>45971</v>
      </c>
      <c r="E302" s="269">
        <v>25.6</v>
      </c>
      <c r="F302" s="272">
        <v>25700</v>
      </c>
      <c r="G302" s="269">
        <v>1130</v>
      </c>
      <c r="H302" s="269">
        <v>1.4</v>
      </c>
      <c r="I302" s="269">
        <v>1.7</v>
      </c>
      <c r="J302" s="269">
        <v>13.5</v>
      </c>
      <c r="K302" s="269" t="s">
        <v>46</v>
      </c>
      <c r="L302" s="269">
        <v>4.7</v>
      </c>
      <c r="M302" s="269" t="s">
        <v>46</v>
      </c>
      <c r="N302" s="269">
        <v>1.3</v>
      </c>
      <c r="O302" s="269" t="s">
        <v>46</v>
      </c>
      <c r="P302" s="269">
        <v>62900</v>
      </c>
      <c r="Q302" s="269">
        <f t="shared" si="10"/>
        <v>89778.2</v>
      </c>
      <c r="R302" s="270" t="s">
        <v>36</v>
      </c>
      <c r="S302" s="270" t="s">
        <v>50</v>
      </c>
      <c r="T302" s="270">
        <v>32200</v>
      </c>
      <c r="U302" s="271"/>
      <c r="V302" s="280"/>
    </row>
    <row r="303" spans="1:22">
      <c r="A303" s="266">
        <v>2</v>
      </c>
      <c r="B303" s="267" t="s">
        <v>64</v>
      </c>
      <c r="C303" s="268">
        <v>3</v>
      </c>
      <c r="D303" s="356">
        <v>45936</v>
      </c>
      <c r="E303" s="269">
        <v>30.5</v>
      </c>
      <c r="F303" s="272">
        <v>26000</v>
      </c>
      <c r="G303" s="269">
        <v>1030</v>
      </c>
      <c r="H303" s="269">
        <v>1.5</v>
      </c>
      <c r="I303" s="269">
        <v>1.7</v>
      </c>
      <c r="J303" s="269">
        <v>12.6</v>
      </c>
      <c r="K303" s="269" t="s">
        <v>46</v>
      </c>
      <c r="L303" s="269">
        <v>3.1</v>
      </c>
      <c r="M303" s="269" t="s">
        <v>46</v>
      </c>
      <c r="N303" s="269">
        <v>1.9</v>
      </c>
      <c r="O303" s="269" t="s">
        <v>46</v>
      </c>
      <c r="P303" s="269">
        <v>63800</v>
      </c>
      <c r="Q303" s="269">
        <f t="shared" si="10"/>
        <v>90881.3</v>
      </c>
      <c r="R303" s="270"/>
      <c r="S303" s="270"/>
      <c r="T303" s="270"/>
      <c r="U303" s="271"/>
      <c r="V303" s="280"/>
    </row>
    <row r="304" spans="1:22">
      <c r="A304" s="266">
        <v>2</v>
      </c>
      <c r="B304" s="267" t="s">
        <v>64</v>
      </c>
      <c r="C304" s="268">
        <v>3</v>
      </c>
      <c r="D304" s="356">
        <v>45909</v>
      </c>
      <c r="E304" s="269">
        <v>40.700000000000003</v>
      </c>
      <c r="F304" s="272">
        <v>33500</v>
      </c>
      <c r="G304" s="269">
        <v>1510</v>
      </c>
      <c r="H304" s="269">
        <v>1.7</v>
      </c>
      <c r="I304" s="269">
        <v>2.5</v>
      </c>
      <c r="J304" s="269">
        <v>14.2</v>
      </c>
      <c r="K304" s="269" t="s">
        <v>46</v>
      </c>
      <c r="L304" s="269">
        <v>2.4</v>
      </c>
      <c r="M304" s="269" t="s">
        <v>46</v>
      </c>
      <c r="N304" s="269">
        <v>1.6</v>
      </c>
      <c r="O304" s="269" t="s">
        <v>46</v>
      </c>
      <c r="P304" s="269">
        <v>76100</v>
      </c>
      <c r="Q304" s="269">
        <f t="shared" si="10"/>
        <v>111173.09999999999</v>
      </c>
      <c r="R304" s="270"/>
      <c r="S304" s="270"/>
      <c r="T304" s="270"/>
      <c r="U304" s="271"/>
      <c r="V304" s="280"/>
    </row>
    <row r="305" spans="1:22">
      <c r="A305" s="266">
        <v>2</v>
      </c>
      <c r="B305" s="267" t="s">
        <v>64</v>
      </c>
      <c r="C305" s="268">
        <v>3</v>
      </c>
      <c r="D305" s="356">
        <v>45895</v>
      </c>
      <c r="E305" s="269">
        <v>37.5</v>
      </c>
      <c r="F305" s="272">
        <v>37200</v>
      </c>
      <c r="G305" s="269">
        <v>1320</v>
      </c>
      <c r="H305" s="269" t="s">
        <v>46</v>
      </c>
      <c r="I305" s="269">
        <v>2.1</v>
      </c>
      <c r="J305" s="269">
        <v>13.5</v>
      </c>
      <c r="K305" s="269" t="s">
        <v>46</v>
      </c>
      <c r="L305" s="269">
        <v>6.2</v>
      </c>
      <c r="M305" s="269" t="s">
        <v>46</v>
      </c>
      <c r="N305" s="269">
        <v>3.2</v>
      </c>
      <c r="O305" s="269">
        <v>1.9</v>
      </c>
      <c r="P305" s="269">
        <v>87500</v>
      </c>
      <c r="Q305" s="269">
        <f t="shared" si="10"/>
        <v>126084.4</v>
      </c>
      <c r="R305" s="270"/>
      <c r="S305" s="270"/>
      <c r="T305" s="270">
        <v>43900</v>
      </c>
      <c r="U305" s="271"/>
      <c r="V305" s="280"/>
    </row>
    <row r="306" spans="1:22">
      <c r="A306" s="266">
        <v>2</v>
      </c>
      <c r="B306" s="267" t="s">
        <v>64</v>
      </c>
      <c r="C306" s="268">
        <v>3</v>
      </c>
      <c r="D306" s="356">
        <v>45840</v>
      </c>
      <c r="E306" s="269">
        <v>34.1</v>
      </c>
      <c r="F306" s="272">
        <v>26800</v>
      </c>
      <c r="G306" s="269">
        <v>2350</v>
      </c>
      <c r="H306" s="269" t="s">
        <v>46</v>
      </c>
      <c r="I306" s="269">
        <v>2.2000000000000002</v>
      </c>
      <c r="J306" s="269">
        <v>12.8</v>
      </c>
      <c r="K306" s="269" t="s">
        <v>46</v>
      </c>
      <c r="L306" s="269">
        <v>6.9</v>
      </c>
      <c r="M306" s="269" t="s">
        <v>46</v>
      </c>
      <c r="N306" s="269">
        <v>4.8</v>
      </c>
      <c r="O306" s="269">
        <v>1.6</v>
      </c>
      <c r="P306" s="269">
        <v>56900</v>
      </c>
      <c r="Q306" s="269">
        <f t="shared" si="10"/>
        <v>86112.4</v>
      </c>
      <c r="R306" s="270"/>
      <c r="S306" s="270"/>
      <c r="T306" s="270"/>
      <c r="U306" s="271"/>
      <c r="V306" s="280"/>
    </row>
    <row r="307" spans="1:22">
      <c r="A307" s="266">
        <v>2</v>
      </c>
      <c r="B307" s="267" t="s">
        <v>64</v>
      </c>
      <c r="C307" s="268">
        <v>3</v>
      </c>
      <c r="D307" s="356">
        <v>45811</v>
      </c>
      <c r="E307" s="269">
        <v>9.6</v>
      </c>
      <c r="F307" s="272">
        <v>5210</v>
      </c>
      <c r="G307" s="269">
        <v>754</v>
      </c>
      <c r="H307" s="269" t="s">
        <v>46</v>
      </c>
      <c r="I307" s="269">
        <v>1.9</v>
      </c>
      <c r="J307" s="269">
        <v>6.9</v>
      </c>
      <c r="K307" s="269" t="s">
        <v>46</v>
      </c>
      <c r="L307" s="269">
        <v>13.4</v>
      </c>
      <c r="M307" s="269" t="s">
        <v>46</v>
      </c>
      <c r="N307" s="269">
        <v>7.1</v>
      </c>
      <c r="O307" s="269">
        <v>9.6999999999999993</v>
      </c>
      <c r="P307" s="269">
        <v>36800</v>
      </c>
      <c r="Q307" s="269">
        <f t="shared" si="10"/>
        <v>42812.6</v>
      </c>
      <c r="R307" s="270"/>
      <c r="S307" s="270"/>
      <c r="T307" s="270"/>
      <c r="U307" s="271"/>
      <c r="V307" s="280"/>
    </row>
    <row r="308" spans="1:22">
      <c r="A308" s="266">
        <v>2</v>
      </c>
      <c r="B308" s="267" t="s">
        <v>64</v>
      </c>
      <c r="C308" s="268">
        <v>3</v>
      </c>
      <c r="D308" s="356">
        <v>45782</v>
      </c>
      <c r="E308" s="269">
        <v>88.5</v>
      </c>
      <c r="F308" s="272">
        <v>100000</v>
      </c>
      <c r="G308" s="269">
        <v>5020</v>
      </c>
      <c r="H308" s="269">
        <v>2.2000000000000002</v>
      </c>
      <c r="I308" s="269">
        <v>2.4</v>
      </c>
      <c r="J308" s="269">
        <v>20</v>
      </c>
      <c r="K308" s="269" t="s">
        <v>46</v>
      </c>
      <c r="L308" s="269">
        <v>34.6</v>
      </c>
      <c r="M308" s="269" t="s">
        <v>46</v>
      </c>
      <c r="N308" s="269">
        <v>6.8</v>
      </c>
      <c r="O308" s="269">
        <v>5.8</v>
      </c>
      <c r="P308" s="269">
        <v>97800</v>
      </c>
      <c r="Q308" s="269">
        <f t="shared" si="10"/>
        <v>202980.3</v>
      </c>
      <c r="R308" s="270" t="s">
        <v>36</v>
      </c>
      <c r="S308" s="270" t="s">
        <v>50</v>
      </c>
      <c r="T308" s="270">
        <v>25700</v>
      </c>
      <c r="U308" s="271"/>
      <c r="V308" s="280">
        <v>7</v>
      </c>
    </row>
    <row r="309" spans="1:22">
      <c r="A309" s="266">
        <v>2</v>
      </c>
      <c r="B309" s="267" t="s">
        <v>64</v>
      </c>
      <c r="C309" s="268">
        <v>3</v>
      </c>
      <c r="D309" s="356">
        <v>45755</v>
      </c>
      <c r="E309" s="269">
        <v>78.7</v>
      </c>
      <c r="F309" s="272">
        <v>83200</v>
      </c>
      <c r="G309" s="269">
        <v>3990</v>
      </c>
      <c r="H309" s="269" t="s">
        <v>46</v>
      </c>
      <c r="I309" s="269">
        <v>1.7</v>
      </c>
      <c r="J309" s="269">
        <v>17.600000000000001</v>
      </c>
      <c r="K309" s="269" t="s">
        <v>46</v>
      </c>
      <c r="L309" s="269">
        <v>152</v>
      </c>
      <c r="M309" s="269" t="s">
        <v>46</v>
      </c>
      <c r="N309" s="269">
        <v>8.4</v>
      </c>
      <c r="O309" s="269">
        <v>15.8</v>
      </c>
      <c r="P309" s="269">
        <v>84800</v>
      </c>
      <c r="Q309" s="269">
        <f t="shared" si="10"/>
        <v>172264.2</v>
      </c>
      <c r="R309" s="270"/>
      <c r="S309" s="270"/>
      <c r="T309" s="270"/>
      <c r="U309" s="271"/>
      <c r="V309" s="280"/>
    </row>
    <row r="310" spans="1:22">
      <c r="A310" s="266">
        <v>2</v>
      </c>
      <c r="B310" s="267" t="s">
        <v>64</v>
      </c>
      <c r="C310" s="268">
        <v>3</v>
      </c>
      <c r="D310" s="356">
        <v>45727</v>
      </c>
      <c r="E310" s="269">
        <v>104</v>
      </c>
      <c r="F310" s="272">
        <v>78200</v>
      </c>
      <c r="G310" s="269">
        <v>3620</v>
      </c>
      <c r="H310" s="269" t="s">
        <v>46</v>
      </c>
      <c r="I310" s="269">
        <v>1.9</v>
      </c>
      <c r="J310" s="269">
        <v>20.3</v>
      </c>
      <c r="K310" s="269" t="s">
        <v>46</v>
      </c>
      <c r="L310" s="269">
        <v>241</v>
      </c>
      <c r="M310" s="269" t="s">
        <v>46</v>
      </c>
      <c r="N310" s="269">
        <v>9.1</v>
      </c>
      <c r="O310" s="269">
        <v>8.3000000000000007</v>
      </c>
      <c r="P310" s="269">
        <v>63000</v>
      </c>
      <c r="Q310" s="269">
        <f t="shared" si="10"/>
        <v>145204.6</v>
      </c>
      <c r="R310" s="270"/>
      <c r="S310" s="270"/>
      <c r="T310" s="270"/>
      <c r="U310" s="271"/>
      <c r="V310" s="280"/>
    </row>
    <row r="311" spans="1:22">
      <c r="A311" s="266">
        <v>2</v>
      </c>
      <c r="B311" s="267" t="s">
        <v>64</v>
      </c>
      <c r="C311" s="268">
        <v>3</v>
      </c>
      <c r="D311" s="356">
        <v>45706</v>
      </c>
      <c r="E311" s="269">
        <v>9.3000000000000007</v>
      </c>
      <c r="F311" s="272">
        <v>152000</v>
      </c>
      <c r="G311" s="269">
        <v>211</v>
      </c>
      <c r="H311" s="269">
        <v>1.7</v>
      </c>
      <c r="I311" s="269" t="s">
        <v>36</v>
      </c>
      <c r="J311" s="269">
        <v>3.5</v>
      </c>
      <c r="K311" s="269" t="s">
        <v>46</v>
      </c>
      <c r="L311" s="269">
        <v>3.5</v>
      </c>
      <c r="M311" s="269" t="s">
        <v>46</v>
      </c>
      <c r="N311" s="269" t="s">
        <v>46</v>
      </c>
      <c r="O311" s="269" t="s">
        <v>46</v>
      </c>
      <c r="P311" s="269">
        <v>86700</v>
      </c>
      <c r="Q311" s="269">
        <f t="shared" si="10"/>
        <v>238929</v>
      </c>
      <c r="R311" s="270"/>
      <c r="S311" s="270"/>
      <c r="T311" s="270">
        <v>12400</v>
      </c>
      <c r="U311" s="271"/>
      <c r="V311" s="280"/>
    </row>
    <row r="312" spans="1:22">
      <c r="A312" s="266">
        <v>2</v>
      </c>
      <c r="B312" s="267" t="s">
        <v>64</v>
      </c>
      <c r="C312" s="268">
        <v>3</v>
      </c>
      <c r="D312" s="356">
        <v>45006</v>
      </c>
      <c r="E312" s="269">
        <v>156</v>
      </c>
      <c r="F312" s="272">
        <v>60200</v>
      </c>
      <c r="G312" s="269">
        <v>3750</v>
      </c>
      <c r="H312" s="269" t="s">
        <v>46</v>
      </c>
      <c r="I312" s="269">
        <v>1.3</v>
      </c>
      <c r="J312" s="269">
        <v>19.399999999999999</v>
      </c>
      <c r="K312" s="269" t="s">
        <v>46</v>
      </c>
      <c r="L312" s="269">
        <v>110</v>
      </c>
      <c r="M312" s="269" t="s">
        <v>46</v>
      </c>
      <c r="N312" s="269">
        <v>4.2</v>
      </c>
      <c r="O312" s="269">
        <v>3.1</v>
      </c>
      <c r="P312" s="269">
        <v>125000</v>
      </c>
      <c r="Q312" s="269">
        <f t="shared" si="10"/>
        <v>189244</v>
      </c>
      <c r="R312" s="270"/>
      <c r="S312" s="270"/>
      <c r="T312" s="270">
        <v>12700</v>
      </c>
      <c r="U312" s="271" t="s">
        <v>101</v>
      </c>
      <c r="V312" s="280"/>
    </row>
    <row r="313" spans="1:22">
      <c r="A313" s="266">
        <v>2</v>
      </c>
      <c r="B313" s="267" t="s">
        <v>64</v>
      </c>
      <c r="C313" s="268">
        <v>3</v>
      </c>
      <c r="D313" s="356">
        <v>44747</v>
      </c>
      <c r="E313" s="269">
        <v>1070</v>
      </c>
      <c r="F313" s="272">
        <v>349000</v>
      </c>
      <c r="G313" s="269">
        <v>8260</v>
      </c>
      <c r="H313" s="269" t="s">
        <v>46</v>
      </c>
      <c r="I313" s="269">
        <v>1.6</v>
      </c>
      <c r="J313" s="269">
        <v>34.9</v>
      </c>
      <c r="K313" s="269" t="s">
        <v>46</v>
      </c>
      <c r="L313" s="269">
        <v>49.8</v>
      </c>
      <c r="M313" s="269" t="s">
        <v>46</v>
      </c>
      <c r="N313" s="269">
        <v>7</v>
      </c>
      <c r="O313" s="269" t="s">
        <v>46</v>
      </c>
      <c r="P313" s="269">
        <v>118000</v>
      </c>
      <c r="Q313" s="269">
        <f t="shared" si="10"/>
        <v>476423.3</v>
      </c>
      <c r="R313" s="270"/>
      <c r="S313" s="270"/>
      <c r="T313" s="270">
        <v>1690</v>
      </c>
      <c r="U313" s="271" t="s">
        <v>101</v>
      </c>
      <c r="V313" s="280">
        <v>114</v>
      </c>
    </row>
    <row r="314" spans="1:22">
      <c r="A314" s="266">
        <v>2</v>
      </c>
      <c r="B314" s="267" t="s">
        <v>64</v>
      </c>
      <c r="C314" s="268">
        <v>3</v>
      </c>
      <c r="D314" s="356">
        <v>44641</v>
      </c>
      <c r="E314" s="269">
        <v>1040</v>
      </c>
      <c r="F314" s="272">
        <v>308000</v>
      </c>
      <c r="G314" s="269">
        <v>7520</v>
      </c>
      <c r="H314" s="269" t="s">
        <v>46</v>
      </c>
      <c r="I314" s="269">
        <v>1.4</v>
      </c>
      <c r="J314" s="269">
        <v>16.3</v>
      </c>
      <c r="K314" s="269">
        <v>2.1</v>
      </c>
      <c r="L314" s="269">
        <v>138000</v>
      </c>
      <c r="M314" s="269">
        <v>794</v>
      </c>
      <c r="N314" s="269">
        <v>1390</v>
      </c>
      <c r="O314" s="269">
        <v>9230</v>
      </c>
      <c r="P314" s="269">
        <v>19700</v>
      </c>
      <c r="Q314" s="269">
        <f>SUM(E314:P314)</f>
        <v>485693.8</v>
      </c>
      <c r="R314" s="270"/>
      <c r="S314" s="270"/>
      <c r="T314" s="270">
        <v>890</v>
      </c>
      <c r="U314" s="271" t="s">
        <v>101</v>
      </c>
      <c r="V314" s="280"/>
    </row>
    <row r="315" spans="1:22">
      <c r="A315" s="266">
        <v>2</v>
      </c>
      <c r="B315" s="267" t="s">
        <v>64</v>
      </c>
      <c r="C315" s="268">
        <v>3</v>
      </c>
      <c r="D315" s="356">
        <v>44613</v>
      </c>
      <c r="E315" s="269">
        <v>101</v>
      </c>
      <c r="F315" s="272">
        <v>64300</v>
      </c>
      <c r="G315" s="269">
        <v>1250</v>
      </c>
      <c r="H315" s="269" t="s">
        <v>46</v>
      </c>
      <c r="I315" s="269" t="s">
        <v>36</v>
      </c>
      <c r="J315" s="269">
        <v>6.3</v>
      </c>
      <c r="K315" s="269" t="s">
        <v>46</v>
      </c>
      <c r="L315" s="269">
        <v>28900</v>
      </c>
      <c r="M315" s="269">
        <v>196</v>
      </c>
      <c r="N315" s="269">
        <v>219</v>
      </c>
      <c r="O315" s="269">
        <v>1170</v>
      </c>
      <c r="P315" s="269">
        <v>4830</v>
      </c>
      <c r="Q315" s="269">
        <f t="shared" ref="Q315:Q362" si="11">SUM(E315:P315)</f>
        <v>100972.3</v>
      </c>
      <c r="R315" s="270"/>
      <c r="S315" s="270"/>
      <c r="T315" s="270">
        <v>850</v>
      </c>
      <c r="U315" s="271" t="s">
        <v>101</v>
      </c>
      <c r="V315" s="280"/>
    </row>
    <row r="316" spans="1:22">
      <c r="A316" s="266">
        <v>2</v>
      </c>
      <c r="B316" s="267" t="s">
        <v>64</v>
      </c>
      <c r="C316" s="268">
        <v>3</v>
      </c>
      <c r="D316" s="356">
        <v>44586</v>
      </c>
      <c r="E316" s="269">
        <v>135</v>
      </c>
      <c r="F316" s="272">
        <v>79100</v>
      </c>
      <c r="G316" s="269">
        <v>1550</v>
      </c>
      <c r="H316" s="269" t="s">
        <v>46</v>
      </c>
      <c r="I316" s="269">
        <v>0.6</v>
      </c>
      <c r="J316" s="269">
        <v>6.5</v>
      </c>
      <c r="K316" s="269" t="s">
        <v>46</v>
      </c>
      <c r="L316" s="269">
        <v>59100</v>
      </c>
      <c r="M316" s="269">
        <v>273</v>
      </c>
      <c r="N316" s="269">
        <v>325</v>
      </c>
      <c r="O316" s="269">
        <v>2110</v>
      </c>
      <c r="P316" s="269">
        <v>5210</v>
      </c>
      <c r="Q316" s="269">
        <f t="shared" si="11"/>
        <v>147810.1</v>
      </c>
      <c r="R316" s="270"/>
      <c r="S316" s="270"/>
      <c r="T316" s="270">
        <v>1030</v>
      </c>
      <c r="U316" s="271" t="s">
        <v>101</v>
      </c>
      <c r="V316" s="280"/>
    </row>
    <row r="317" spans="1:22">
      <c r="A317" s="266">
        <v>2</v>
      </c>
      <c r="B317" s="267" t="s">
        <v>64</v>
      </c>
      <c r="C317" s="268">
        <v>3</v>
      </c>
      <c r="D317" s="356">
        <v>44543</v>
      </c>
      <c r="E317" s="269">
        <v>165</v>
      </c>
      <c r="F317" s="272">
        <v>110000</v>
      </c>
      <c r="G317" s="269">
        <v>2020</v>
      </c>
      <c r="H317" s="269" t="s">
        <v>46</v>
      </c>
      <c r="I317" s="269">
        <v>0.5</v>
      </c>
      <c r="J317" s="269">
        <v>7.6</v>
      </c>
      <c r="K317" s="269" t="s">
        <v>46</v>
      </c>
      <c r="L317" s="269">
        <v>63500</v>
      </c>
      <c r="M317" s="269">
        <v>314</v>
      </c>
      <c r="N317" s="269">
        <v>309</v>
      </c>
      <c r="O317" s="269">
        <v>2940</v>
      </c>
      <c r="P317" s="269">
        <v>4900</v>
      </c>
      <c r="Q317" s="269">
        <f t="shared" si="11"/>
        <v>184156.1</v>
      </c>
      <c r="R317" s="270"/>
      <c r="S317" s="270"/>
      <c r="T317" s="270">
        <v>350</v>
      </c>
      <c r="U317" s="271"/>
      <c r="V317" s="280"/>
    </row>
    <row r="318" spans="1:22">
      <c r="A318" s="266">
        <v>2</v>
      </c>
      <c r="B318" s="267" t="s">
        <v>64</v>
      </c>
      <c r="C318" s="268">
        <v>3</v>
      </c>
      <c r="D318" s="356">
        <v>44515</v>
      </c>
      <c r="E318" s="269">
        <v>222</v>
      </c>
      <c r="F318" s="272">
        <v>115000</v>
      </c>
      <c r="G318" s="269">
        <v>1770</v>
      </c>
      <c r="H318" s="269" t="s">
        <v>46</v>
      </c>
      <c r="I318" s="269">
        <v>0.6</v>
      </c>
      <c r="J318" s="269">
        <v>9</v>
      </c>
      <c r="K318" s="269" t="s">
        <v>46</v>
      </c>
      <c r="L318" s="269">
        <v>51300</v>
      </c>
      <c r="M318" s="269">
        <v>273</v>
      </c>
      <c r="N318" s="269">
        <v>242</v>
      </c>
      <c r="O318" s="269">
        <v>1580</v>
      </c>
      <c r="P318" s="269">
        <v>4880</v>
      </c>
      <c r="Q318" s="269">
        <f t="shared" si="11"/>
        <v>175276.6</v>
      </c>
      <c r="R318" s="270"/>
      <c r="S318" s="270"/>
      <c r="T318" s="270">
        <v>550</v>
      </c>
      <c r="U318" s="271" t="s">
        <v>101</v>
      </c>
      <c r="V318" s="280"/>
    </row>
    <row r="319" spans="1:22">
      <c r="A319" s="266">
        <v>2</v>
      </c>
      <c r="B319" s="267" t="s">
        <v>64</v>
      </c>
      <c r="C319" s="268">
        <v>3</v>
      </c>
      <c r="D319" s="356">
        <v>44489</v>
      </c>
      <c r="E319" s="269">
        <v>194</v>
      </c>
      <c r="F319" s="272">
        <v>77300</v>
      </c>
      <c r="G319" s="269">
        <v>1270</v>
      </c>
      <c r="H319" s="269" t="s">
        <v>46</v>
      </c>
      <c r="I319" s="269" t="s">
        <v>36</v>
      </c>
      <c r="J319" s="269" t="s">
        <v>48</v>
      </c>
      <c r="K319" s="269" t="s">
        <v>46</v>
      </c>
      <c r="L319" s="269">
        <v>12000</v>
      </c>
      <c r="M319" s="269">
        <v>132</v>
      </c>
      <c r="N319" s="269">
        <v>93.7</v>
      </c>
      <c r="O319" s="269">
        <v>774</v>
      </c>
      <c r="P319" s="269">
        <v>4080</v>
      </c>
      <c r="Q319" s="269">
        <f t="shared" si="11"/>
        <v>95843.7</v>
      </c>
      <c r="R319" s="270"/>
      <c r="S319" s="270"/>
      <c r="T319" s="270"/>
      <c r="U319" s="271"/>
      <c r="V319" s="280"/>
    </row>
    <row r="320" spans="1:22">
      <c r="A320" s="266">
        <v>2</v>
      </c>
      <c r="B320" s="267" t="s">
        <v>64</v>
      </c>
      <c r="C320" s="268">
        <v>3</v>
      </c>
      <c r="D320" s="356">
        <v>44466</v>
      </c>
      <c r="E320" s="269">
        <v>587</v>
      </c>
      <c r="F320" s="272">
        <v>184000</v>
      </c>
      <c r="G320" s="269">
        <v>3280</v>
      </c>
      <c r="H320" s="269" t="s">
        <v>46</v>
      </c>
      <c r="I320" s="269">
        <v>0.8</v>
      </c>
      <c r="J320" s="269">
        <v>17</v>
      </c>
      <c r="K320" s="269" t="s">
        <v>46</v>
      </c>
      <c r="L320" s="269">
        <v>4680</v>
      </c>
      <c r="M320" s="269">
        <v>274</v>
      </c>
      <c r="N320" s="269">
        <v>61.4</v>
      </c>
      <c r="O320" s="269">
        <v>1670</v>
      </c>
      <c r="P320" s="269">
        <v>5170</v>
      </c>
      <c r="Q320" s="269">
        <f t="shared" si="11"/>
        <v>199740.19999999998</v>
      </c>
      <c r="R320" s="270"/>
      <c r="S320" s="270"/>
      <c r="T320" s="270"/>
      <c r="U320" s="271"/>
      <c r="V320" s="280"/>
    </row>
    <row r="321" spans="1:22">
      <c r="A321" s="266">
        <v>2</v>
      </c>
      <c r="B321" s="267" t="s">
        <v>64</v>
      </c>
      <c r="C321" s="268">
        <v>3</v>
      </c>
      <c r="D321" s="356">
        <v>44431</v>
      </c>
      <c r="E321" s="269">
        <v>331</v>
      </c>
      <c r="F321" s="272">
        <v>119000</v>
      </c>
      <c r="G321" s="269">
        <v>3060</v>
      </c>
      <c r="H321" s="269" t="s">
        <v>46</v>
      </c>
      <c r="I321" s="269">
        <v>0.9</v>
      </c>
      <c r="J321" s="269">
        <v>14.1</v>
      </c>
      <c r="K321" s="269">
        <v>1.1000000000000001</v>
      </c>
      <c r="L321" s="269">
        <v>52800</v>
      </c>
      <c r="M321" s="269">
        <v>628</v>
      </c>
      <c r="N321" s="269">
        <v>528</v>
      </c>
      <c r="O321" s="269">
        <v>4410</v>
      </c>
      <c r="P321" s="269">
        <v>1910</v>
      </c>
      <c r="Q321" s="269">
        <f t="shared" si="11"/>
        <v>182683.1</v>
      </c>
      <c r="R321" s="270"/>
      <c r="S321" s="270"/>
      <c r="T321" s="270"/>
      <c r="U321" s="271"/>
      <c r="V321" s="280"/>
    </row>
    <row r="322" spans="1:22">
      <c r="A322" s="266">
        <v>2</v>
      </c>
      <c r="B322" s="267" t="s">
        <v>64</v>
      </c>
      <c r="C322" s="268">
        <v>3</v>
      </c>
      <c r="D322" s="356">
        <v>44406</v>
      </c>
      <c r="E322" s="269">
        <v>186</v>
      </c>
      <c r="F322" s="272">
        <v>130000</v>
      </c>
      <c r="G322" s="269">
        <v>3190</v>
      </c>
      <c r="H322" s="269" t="s">
        <v>46</v>
      </c>
      <c r="I322" s="269" t="s">
        <v>36</v>
      </c>
      <c r="J322" s="269">
        <v>10.1</v>
      </c>
      <c r="K322" s="269" t="s">
        <v>46</v>
      </c>
      <c r="L322" s="269">
        <v>191000</v>
      </c>
      <c r="M322" s="269">
        <v>1000</v>
      </c>
      <c r="N322" s="269">
        <v>1030</v>
      </c>
      <c r="O322" s="269">
        <v>9670</v>
      </c>
      <c r="P322" s="269">
        <v>3120</v>
      </c>
      <c r="Q322" s="269">
        <f t="shared" si="11"/>
        <v>339206.1</v>
      </c>
      <c r="R322" s="270"/>
      <c r="S322" s="270"/>
      <c r="T322" s="270"/>
      <c r="U322" s="271"/>
      <c r="V322" s="280"/>
    </row>
    <row r="323" spans="1:22">
      <c r="A323" s="266">
        <v>2</v>
      </c>
      <c r="B323" s="267" t="s">
        <v>64</v>
      </c>
      <c r="C323" s="268">
        <v>3</v>
      </c>
      <c r="D323" s="356">
        <v>44341</v>
      </c>
      <c r="E323" s="269">
        <v>173</v>
      </c>
      <c r="F323" s="272">
        <v>125000</v>
      </c>
      <c r="G323" s="269">
        <v>5300</v>
      </c>
      <c r="H323" s="269" t="s">
        <v>46</v>
      </c>
      <c r="I323" s="269">
        <v>1.1000000000000001</v>
      </c>
      <c r="J323" s="269">
        <v>7.3</v>
      </c>
      <c r="K323" s="269">
        <v>2.2999999999999998</v>
      </c>
      <c r="L323" s="269">
        <v>293000</v>
      </c>
      <c r="M323" s="269">
        <v>1140</v>
      </c>
      <c r="N323" s="269">
        <v>1670</v>
      </c>
      <c r="O323" s="269">
        <v>15000</v>
      </c>
      <c r="P323" s="269">
        <v>2770</v>
      </c>
      <c r="Q323" s="269">
        <f t="shared" si="11"/>
        <v>444063.7</v>
      </c>
      <c r="R323" s="270"/>
      <c r="S323" s="273">
        <v>358</v>
      </c>
      <c r="T323" s="273"/>
      <c r="U323" s="274"/>
      <c r="V323" s="265"/>
    </row>
    <row r="324" spans="1:22">
      <c r="A324" s="266">
        <v>2</v>
      </c>
      <c r="B324" s="267" t="s">
        <v>64</v>
      </c>
      <c r="C324" s="268">
        <v>3</v>
      </c>
      <c r="D324" s="356">
        <v>44312</v>
      </c>
      <c r="E324" s="269">
        <v>199</v>
      </c>
      <c r="F324" s="272">
        <v>132000</v>
      </c>
      <c r="G324" s="269">
        <v>5460</v>
      </c>
      <c r="H324" s="269" t="s">
        <v>46</v>
      </c>
      <c r="I324" s="269">
        <v>1.1000000000000001</v>
      </c>
      <c r="J324" s="269">
        <v>6.8</v>
      </c>
      <c r="K324" s="269">
        <v>2.4</v>
      </c>
      <c r="L324" s="269">
        <v>435000</v>
      </c>
      <c r="M324" s="269">
        <v>1210</v>
      </c>
      <c r="N324" s="269">
        <v>2150</v>
      </c>
      <c r="O324" s="269">
        <v>18200</v>
      </c>
      <c r="P324" s="269">
        <v>3370</v>
      </c>
      <c r="Q324" s="269">
        <f t="shared" si="11"/>
        <v>597599.30000000005</v>
      </c>
      <c r="R324" s="270"/>
      <c r="S324" s="270"/>
      <c r="T324" s="270"/>
      <c r="U324" s="271"/>
      <c r="V324" s="280"/>
    </row>
    <row r="325" spans="1:22" ht="15" thickBot="1">
      <c r="A325" s="308">
        <v>2</v>
      </c>
      <c r="B325" s="309" t="s">
        <v>64</v>
      </c>
      <c r="C325" s="310">
        <v>3</v>
      </c>
      <c r="D325" s="362">
        <v>44159</v>
      </c>
      <c r="E325" s="311">
        <v>20.399999999999999</v>
      </c>
      <c r="F325" s="311">
        <v>16000</v>
      </c>
      <c r="G325" s="311">
        <v>265</v>
      </c>
      <c r="H325" s="311" t="s">
        <v>46</v>
      </c>
      <c r="I325" s="311" t="s">
        <v>36</v>
      </c>
      <c r="J325" s="311">
        <v>1.1000000000000001</v>
      </c>
      <c r="K325" s="311" t="s">
        <v>46</v>
      </c>
      <c r="L325" s="311">
        <v>162</v>
      </c>
      <c r="M325" s="311">
        <v>1.5</v>
      </c>
      <c r="N325" s="311">
        <v>1.3</v>
      </c>
      <c r="O325" s="311">
        <v>30.5</v>
      </c>
      <c r="P325" s="311">
        <v>1980</v>
      </c>
      <c r="Q325" s="311">
        <f t="shared" si="11"/>
        <v>18461.8</v>
      </c>
      <c r="R325" s="295"/>
      <c r="S325" s="295"/>
      <c r="T325" s="295"/>
      <c r="U325" s="296"/>
      <c r="V325" s="280"/>
    </row>
    <row r="326" spans="1:22" ht="15" thickBot="1">
      <c r="A326" s="334"/>
      <c r="B326" s="172"/>
      <c r="C326" s="335"/>
      <c r="D326" s="32"/>
      <c r="E326" s="333"/>
      <c r="F326" s="333"/>
      <c r="G326" s="333"/>
      <c r="H326" s="333"/>
      <c r="I326" s="333"/>
      <c r="J326" s="333"/>
      <c r="K326" s="333"/>
      <c r="L326" s="333"/>
      <c r="M326" s="333"/>
      <c r="N326" s="333"/>
      <c r="O326" s="333"/>
      <c r="P326" s="333"/>
      <c r="Q326" s="333"/>
      <c r="R326" s="280"/>
      <c r="S326" s="280"/>
      <c r="T326" s="280"/>
      <c r="U326" s="280"/>
      <c r="V326" s="280"/>
    </row>
    <row r="327" spans="1:22">
      <c r="A327" s="281">
        <v>1</v>
      </c>
      <c r="B327" s="282" t="s">
        <v>64</v>
      </c>
      <c r="C327" s="283">
        <v>4</v>
      </c>
      <c r="D327" s="358">
        <v>45980</v>
      </c>
      <c r="E327" s="284">
        <v>133</v>
      </c>
      <c r="F327" s="284">
        <v>47400</v>
      </c>
      <c r="G327" s="284">
        <v>1050</v>
      </c>
      <c r="H327" s="284" t="s">
        <v>46</v>
      </c>
      <c r="I327" s="284">
        <v>1.9</v>
      </c>
      <c r="J327" s="284">
        <v>11.6</v>
      </c>
      <c r="K327" s="284" t="s">
        <v>46</v>
      </c>
      <c r="L327" s="284">
        <v>29800</v>
      </c>
      <c r="M327" s="284">
        <v>87.9</v>
      </c>
      <c r="N327" s="284">
        <v>297</v>
      </c>
      <c r="O327" s="284">
        <v>6130</v>
      </c>
      <c r="P327" s="284">
        <v>31500</v>
      </c>
      <c r="Q327" s="284">
        <f t="shared" ref="Q327:Q336" si="12">SUM(E327:P327)</f>
        <v>116411.4</v>
      </c>
      <c r="R327" s="285" t="s">
        <v>36</v>
      </c>
      <c r="S327" s="285">
        <v>62</v>
      </c>
      <c r="T327" s="285">
        <v>37200</v>
      </c>
      <c r="U327" s="286"/>
      <c r="V327" s="280"/>
    </row>
    <row r="328" spans="1:22">
      <c r="A328" s="287">
        <v>1</v>
      </c>
      <c r="B328" s="288" t="s">
        <v>64</v>
      </c>
      <c r="C328" s="289">
        <v>4</v>
      </c>
      <c r="D328" s="359">
        <v>45792</v>
      </c>
      <c r="E328" s="290">
        <v>89.5</v>
      </c>
      <c r="F328" s="290">
        <v>47000</v>
      </c>
      <c r="G328" s="290">
        <v>2690</v>
      </c>
      <c r="H328" s="290" t="s">
        <v>46</v>
      </c>
      <c r="I328" s="290">
        <v>1.7</v>
      </c>
      <c r="J328" s="290">
        <v>15.7</v>
      </c>
      <c r="K328" s="290" t="s">
        <v>46</v>
      </c>
      <c r="L328" s="290">
        <v>34900</v>
      </c>
      <c r="M328" s="290">
        <v>83.8</v>
      </c>
      <c r="N328" s="290">
        <v>507</v>
      </c>
      <c r="O328" s="290">
        <v>5380</v>
      </c>
      <c r="P328" s="290">
        <v>80000</v>
      </c>
      <c r="Q328" s="290">
        <f t="shared" si="12"/>
        <v>170667.7</v>
      </c>
      <c r="R328" s="270" t="s">
        <v>36</v>
      </c>
      <c r="S328" s="270" t="s">
        <v>50</v>
      </c>
      <c r="T328" s="270">
        <v>25400</v>
      </c>
      <c r="U328" s="271"/>
      <c r="V328" s="280">
        <v>21</v>
      </c>
    </row>
    <row r="329" spans="1:22">
      <c r="A329" s="287">
        <v>1</v>
      </c>
      <c r="B329" s="288" t="s">
        <v>64</v>
      </c>
      <c r="C329" s="289">
        <v>4</v>
      </c>
      <c r="D329" s="359">
        <v>45670</v>
      </c>
      <c r="E329" s="290">
        <v>343</v>
      </c>
      <c r="F329" s="290">
        <v>229000</v>
      </c>
      <c r="G329" s="290">
        <v>7120</v>
      </c>
      <c r="H329" s="290">
        <v>1.6</v>
      </c>
      <c r="I329" s="290">
        <v>1.8</v>
      </c>
      <c r="J329" s="290">
        <v>26.1</v>
      </c>
      <c r="K329" s="290" t="s">
        <v>46</v>
      </c>
      <c r="L329" s="290">
        <v>3.1</v>
      </c>
      <c r="M329" s="290" t="s">
        <v>46</v>
      </c>
      <c r="N329" s="290" t="s">
        <v>33</v>
      </c>
      <c r="O329" s="290">
        <v>103</v>
      </c>
      <c r="P329" s="290">
        <v>37200</v>
      </c>
      <c r="Q329" s="290">
        <f t="shared" si="12"/>
        <v>273798.59999999998</v>
      </c>
      <c r="R329" s="270"/>
      <c r="S329" s="270"/>
      <c r="T329" s="270"/>
      <c r="U329" s="271"/>
      <c r="V329" s="280"/>
    </row>
    <row r="330" spans="1:22">
      <c r="A330" s="287">
        <v>1</v>
      </c>
      <c r="B330" s="288" t="s">
        <v>64</v>
      </c>
      <c r="C330" s="289">
        <v>4</v>
      </c>
      <c r="D330" s="359">
        <v>45629</v>
      </c>
      <c r="E330" s="290">
        <v>294</v>
      </c>
      <c r="F330" s="290">
        <v>274000</v>
      </c>
      <c r="G330" s="290">
        <v>12500</v>
      </c>
      <c r="H330" s="290" t="s">
        <v>46</v>
      </c>
      <c r="I330" s="290">
        <v>1.6</v>
      </c>
      <c r="J330" s="290">
        <v>27.4</v>
      </c>
      <c r="K330" s="290" t="s">
        <v>46</v>
      </c>
      <c r="L330" s="290" t="s">
        <v>46</v>
      </c>
      <c r="M330" s="290" t="s">
        <v>46</v>
      </c>
      <c r="N330" s="290" t="s">
        <v>46</v>
      </c>
      <c r="O330" s="290">
        <v>34.700000000000003</v>
      </c>
      <c r="P330" s="290">
        <v>52200</v>
      </c>
      <c r="Q330" s="290">
        <f t="shared" si="12"/>
        <v>339057.7</v>
      </c>
      <c r="R330" s="270"/>
      <c r="S330" s="270"/>
      <c r="T330" s="270">
        <v>9380</v>
      </c>
      <c r="U330" s="271" t="s">
        <v>101</v>
      </c>
      <c r="V330" s="280"/>
    </row>
    <row r="331" spans="1:22">
      <c r="A331" s="287">
        <v>1</v>
      </c>
      <c r="B331" s="288" t="s">
        <v>64</v>
      </c>
      <c r="C331" s="289">
        <v>4</v>
      </c>
      <c r="D331" s="359">
        <v>45616</v>
      </c>
      <c r="E331" s="290">
        <v>250</v>
      </c>
      <c r="F331" s="290">
        <v>137000</v>
      </c>
      <c r="G331" s="290">
        <v>5330</v>
      </c>
      <c r="H331" s="290" t="s">
        <v>46</v>
      </c>
      <c r="I331" s="290">
        <v>2.1</v>
      </c>
      <c r="J331" s="290">
        <v>23.5</v>
      </c>
      <c r="K331" s="290">
        <v>3.3</v>
      </c>
      <c r="L331" s="290">
        <v>142000</v>
      </c>
      <c r="M331" s="290">
        <v>624</v>
      </c>
      <c r="N331" s="290">
        <v>701</v>
      </c>
      <c r="O331" s="290">
        <v>16500</v>
      </c>
      <c r="P331" s="290">
        <v>57700</v>
      </c>
      <c r="Q331" s="290">
        <f t="shared" si="12"/>
        <v>360133.9</v>
      </c>
      <c r="R331" s="270"/>
      <c r="S331" s="270"/>
      <c r="T331" s="270">
        <v>10000</v>
      </c>
      <c r="U331" s="271">
        <v>60</v>
      </c>
      <c r="V331" s="280"/>
    </row>
    <row r="332" spans="1:22">
      <c r="A332" s="287">
        <v>1</v>
      </c>
      <c r="B332" s="288" t="s">
        <v>64</v>
      </c>
      <c r="C332" s="289">
        <v>4</v>
      </c>
      <c r="D332" s="359">
        <v>45567</v>
      </c>
      <c r="E332" s="290">
        <v>219</v>
      </c>
      <c r="F332" s="290">
        <v>129000</v>
      </c>
      <c r="G332" s="290">
        <v>5320</v>
      </c>
      <c r="H332" s="290" t="s">
        <v>46</v>
      </c>
      <c r="I332" s="290">
        <v>2</v>
      </c>
      <c r="J332" s="290">
        <v>23.8</v>
      </c>
      <c r="K332" s="290">
        <v>3.2</v>
      </c>
      <c r="L332" s="290">
        <v>143000</v>
      </c>
      <c r="M332" s="290">
        <v>605</v>
      </c>
      <c r="N332" s="290">
        <v>751</v>
      </c>
      <c r="O332" s="290">
        <v>15300</v>
      </c>
      <c r="P332" s="290">
        <v>50100</v>
      </c>
      <c r="Q332" s="290">
        <f t="shared" si="12"/>
        <v>344324</v>
      </c>
      <c r="R332" s="270"/>
      <c r="S332" s="270"/>
      <c r="T332" s="270">
        <v>13200</v>
      </c>
      <c r="U332" s="271">
        <v>710</v>
      </c>
      <c r="V332" s="280"/>
    </row>
    <row r="333" spans="1:22">
      <c r="A333" s="287">
        <v>1</v>
      </c>
      <c r="B333" s="288" t="s">
        <v>64</v>
      </c>
      <c r="C333" s="289">
        <v>4</v>
      </c>
      <c r="D333" s="359">
        <v>45538</v>
      </c>
      <c r="E333" s="290">
        <v>200</v>
      </c>
      <c r="F333" s="290">
        <v>87700</v>
      </c>
      <c r="G333" s="290">
        <v>3980</v>
      </c>
      <c r="H333" s="290" t="s">
        <v>46</v>
      </c>
      <c r="I333" s="290">
        <v>1.4</v>
      </c>
      <c r="J333" s="290">
        <v>17.600000000000001</v>
      </c>
      <c r="K333" s="290">
        <v>2</v>
      </c>
      <c r="L333" s="290">
        <v>129000</v>
      </c>
      <c r="M333" s="290">
        <v>426</v>
      </c>
      <c r="N333" s="290">
        <v>634</v>
      </c>
      <c r="O333" s="290">
        <v>12200</v>
      </c>
      <c r="P333" s="290">
        <v>32500</v>
      </c>
      <c r="Q333" s="290">
        <f t="shared" si="12"/>
        <v>266661</v>
      </c>
      <c r="R333" s="270"/>
      <c r="S333" s="270"/>
      <c r="T333" s="270">
        <v>9340</v>
      </c>
      <c r="U333" s="271">
        <v>60</v>
      </c>
      <c r="V333" s="280"/>
    </row>
    <row r="334" spans="1:22">
      <c r="A334" s="287">
        <v>1</v>
      </c>
      <c r="B334" s="288" t="s">
        <v>64</v>
      </c>
      <c r="C334" s="289">
        <v>4</v>
      </c>
      <c r="D334" s="359">
        <v>45510</v>
      </c>
      <c r="E334" s="290">
        <v>267</v>
      </c>
      <c r="F334" s="290">
        <v>89600</v>
      </c>
      <c r="G334" s="290">
        <v>5480</v>
      </c>
      <c r="H334" s="290" t="s">
        <v>46</v>
      </c>
      <c r="I334" s="290">
        <v>2.2000000000000002</v>
      </c>
      <c r="J334" s="290">
        <v>29.4</v>
      </c>
      <c r="K334" s="290">
        <v>3.9</v>
      </c>
      <c r="L334" s="290">
        <v>163000</v>
      </c>
      <c r="M334" s="290">
        <v>541</v>
      </c>
      <c r="N334" s="290">
        <v>852</v>
      </c>
      <c r="O334" s="290">
        <v>13900</v>
      </c>
      <c r="P334" s="290">
        <v>44100</v>
      </c>
      <c r="Q334" s="290">
        <f t="shared" si="12"/>
        <v>317775.5</v>
      </c>
      <c r="R334" s="270"/>
      <c r="S334" s="270"/>
      <c r="T334" s="270">
        <v>9670</v>
      </c>
      <c r="U334" s="271">
        <v>50</v>
      </c>
      <c r="V334" s="280"/>
    </row>
    <row r="335" spans="1:22">
      <c r="A335" s="287">
        <v>1</v>
      </c>
      <c r="B335" s="288" t="s">
        <v>64</v>
      </c>
      <c r="C335" s="289">
        <v>4</v>
      </c>
      <c r="D335" s="359">
        <v>45454</v>
      </c>
      <c r="E335" s="290">
        <v>259</v>
      </c>
      <c r="F335" s="290">
        <v>138000</v>
      </c>
      <c r="G335" s="290">
        <v>5320</v>
      </c>
      <c r="H335" s="290">
        <v>1.7</v>
      </c>
      <c r="I335" s="290">
        <v>1.9</v>
      </c>
      <c r="J335" s="290">
        <v>27.3</v>
      </c>
      <c r="K335" s="290">
        <v>3.4</v>
      </c>
      <c r="L335" s="290">
        <v>113000</v>
      </c>
      <c r="M335" s="290">
        <v>569</v>
      </c>
      <c r="N335" s="290">
        <v>682</v>
      </c>
      <c r="O335" s="290">
        <v>12800</v>
      </c>
      <c r="P335" s="290">
        <v>29500</v>
      </c>
      <c r="Q335" s="290">
        <f t="shared" si="12"/>
        <v>300164.3</v>
      </c>
      <c r="R335" s="270"/>
      <c r="S335" s="270"/>
      <c r="T335" s="270">
        <v>11900</v>
      </c>
      <c r="U335" s="271" t="s">
        <v>101</v>
      </c>
      <c r="V335" s="280"/>
    </row>
    <row r="336" spans="1:22">
      <c r="A336" s="287">
        <v>1</v>
      </c>
      <c r="B336" s="288" t="s">
        <v>64</v>
      </c>
      <c r="C336" s="289">
        <v>4</v>
      </c>
      <c r="D336" s="359">
        <v>45426</v>
      </c>
      <c r="E336" s="290">
        <v>571</v>
      </c>
      <c r="F336" s="290">
        <v>158000</v>
      </c>
      <c r="G336" s="290">
        <v>5310</v>
      </c>
      <c r="H336" s="290" t="s">
        <v>46</v>
      </c>
      <c r="I336" s="290">
        <v>1.7</v>
      </c>
      <c r="J336" s="290">
        <v>22.8</v>
      </c>
      <c r="K336" s="290">
        <v>1.5</v>
      </c>
      <c r="L336" s="290">
        <v>24000</v>
      </c>
      <c r="M336" s="290">
        <v>85.1</v>
      </c>
      <c r="N336" s="290">
        <v>243</v>
      </c>
      <c r="O336" s="290">
        <v>1640</v>
      </c>
      <c r="P336" s="290">
        <v>92600</v>
      </c>
      <c r="Q336" s="290">
        <f t="shared" si="12"/>
        <v>282475.09999999998</v>
      </c>
      <c r="R336" s="270"/>
      <c r="S336" s="270"/>
      <c r="T336" s="270">
        <v>8750</v>
      </c>
      <c r="U336" s="271" t="s">
        <v>101</v>
      </c>
      <c r="V336" s="280"/>
    </row>
    <row r="337" spans="1:22">
      <c r="A337" s="287">
        <v>1</v>
      </c>
      <c r="B337" s="288" t="s">
        <v>64</v>
      </c>
      <c r="C337" s="289">
        <v>4</v>
      </c>
      <c r="D337" s="359">
        <v>45384</v>
      </c>
      <c r="E337" s="290">
        <v>333</v>
      </c>
      <c r="F337" s="290">
        <v>139000</v>
      </c>
      <c r="G337" s="290">
        <v>5850</v>
      </c>
      <c r="H337" s="290" t="s">
        <v>46</v>
      </c>
      <c r="I337" s="290">
        <v>2</v>
      </c>
      <c r="J337" s="290">
        <v>28.4</v>
      </c>
      <c r="K337" s="290">
        <v>3.4</v>
      </c>
      <c r="L337" s="290">
        <v>112000</v>
      </c>
      <c r="M337" s="290">
        <v>447</v>
      </c>
      <c r="N337" s="290">
        <v>694</v>
      </c>
      <c r="O337" s="290">
        <v>9810</v>
      </c>
      <c r="P337" s="290">
        <v>50800</v>
      </c>
      <c r="Q337" s="290">
        <f>SUM(E337:P337)</f>
        <v>318967.8</v>
      </c>
      <c r="R337" s="270"/>
      <c r="S337" s="270"/>
      <c r="T337" s="270">
        <v>11300</v>
      </c>
      <c r="U337" s="271" t="s">
        <v>101</v>
      </c>
      <c r="V337" s="280"/>
    </row>
    <row r="338" spans="1:22">
      <c r="A338" s="287">
        <v>1</v>
      </c>
      <c r="B338" s="288" t="s">
        <v>64</v>
      </c>
      <c r="C338" s="289">
        <v>4</v>
      </c>
      <c r="D338" s="359">
        <v>45357</v>
      </c>
      <c r="E338" s="290">
        <v>238</v>
      </c>
      <c r="F338" s="290">
        <v>118000</v>
      </c>
      <c r="G338" s="290">
        <v>5100</v>
      </c>
      <c r="H338" s="290">
        <v>1.7</v>
      </c>
      <c r="I338" s="290">
        <v>2</v>
      </c>
      <c r="J338" s="290">
        <v>26.4</v>
      </c>
      <c r="K338" s="290">
        <v>4</v>
      </c>
      <c r="L338" s="290">
        <v>136000</v>
      </c>
      <c r="M338" s="290">
        <v>574</v>
      </c>
      <c r="N338" s="290">
        <v>722</v>
      </c>
      <c r="O338" s="290">
        <v>12100</v>
      </c>
      <c r="P338" s="290">
        <v>32300</v>
      </c>
      <c r="Q338" s="290">
        <f t="shared" si="11"/>
        <v>305068.09999999998</v>
      </c>
      <c r="R338" s="270"/>
      <c r="S338" s="270"/>
      <c r="T338" s="270">
        <v>6750</v>
      </c>
      <c r="U338" s="271" t="s">
        <v>101</v>
      </c>
      <c r="V338" s="280"/>
    </row>
    <row r="339" spans="1:22">
      <c r="A339" s="287">
        <v>1</v>
      </c>
      <c r="B339" s="288" t="s">
        <v>64</v>
      </c>
      <c r="C339" s="289">
        <v>4</v>
      </c>
      <c r="D339" s="359">
        <v>45328</v>
      </c>
      <c r="E339" s="290">
        <v>306</v>
      </c>
      <c r="F339" s="290">
        <v>131000</v>
      </c>
      <c r="G339" s="290">
        <v>5800</v>
      </c>
      <c r="H339" s="290">
        <v>1</v>
      </c>
      <c r="I339" s="290">
        <v>2.1</v>
      </c>
      <c r="J339" s="290">
        <v>26.8</v>
      </c>
      <c r="K339" s="290">
        <v>3.8</v>
      </c>
      <c r="L339" s="290">
        <v>260000</v>
      </c>
      <c r="M339" s="290">
        <v>829</v>
      </c>
      <c r="N339" s="290">
        <v>1190</v>
      </c>
      <c r="O339" s="290">
        <v>20600</v>
      </c>
      <c r="P339" s="290">
        <v>27800</v>
      </c>
      <c r="Q339" s="290">
        <f t="shared" si="11"/>
        <v>447558.69999999995</v>
      </c>
      <c r="R339" s="270"/>
      <c r="S339" s="270"/>
      <c r="T339" s="270">
        <v>13800</v>
      </c>
      <c r="U339" s="271" t="s">
        <v>101</v>
      </c>
      <c r="V339" s="280"/>
    </row>
    <row r="340" spans="1:22">
      <c r="A340" s="287">
        <v>1</v>
      </c>
      <c r="B340" s="288" t="s">
        <v>64</v>
      </c>
      <c r="C340" s="289">
        <v>4</v>
      </c>
      <c r="D340" s="359">
        <v>45300</v>
      </c>
      <c r="E340" s="290">
        <v>369</v>
      </c>
      <c r="F340" s="290">
        <v>176000</v>
      </c>
      <c r="G340" s="290">
        <v>6350</v>
      </c>
      <c r="H340" s="290" t="s">
        <v>46</v>
      </c>
      <c r="I340" s="290">
        <v>2.4</v>
      </c>
      <c r="J340" s="290">
        <v>29</v>
      </c>
      <c r="K340" s="290">
        <v>4.3</v>
      </c>
      <c r="L340" s="290">
        <v>202000</v>
      </c>
      <c r="M340" s="290">
        <v>779</v>
      </c>
      <c r="N340" s="290">
        <v>1340</v>
      </c>
      <c r="O340" s="290">
        <v>20000</v>
      </c>
      <c r="P340" s="290">
        <v>22400</v>
      </c>
      <c r="Q340" s="290">
        <f t="shared" si="11"/>
        <v>429273.69999999995</v>
      </c>
      <c r="R340" s="270"/>
      <c r="S340" s="270"/>
      <c r="T340" s="270">
        <v>12500</v>
      </c>
      <c r="U340" s="271" t="s">
        <v>101</v>
      </c>
      <c r="V340" s="280"/>
    </row>
    <row r="341" spans="1:22">
      <c r="A341" s="287">
        <v>1</v>
      </c>
      <c r="B341" s="288" t="s">
        <v>64</v>
      </c>
      <c r="C341" s="289">
        <v>4</v>
      </c>
      <c r="D341" s="359">
        <v>45264</v>
      </c>
      <c r="E341" s="290">
        <v>413</v>
      </c>
      <c r="F341" s="290">
        <v>179000</v>
      </c>
      <c r="G341" s="290">
        <v>6480</v>
      </c>
      <c r="H341" s="290" t="s">
        <v>46</v>
      </c>
      <c r="I341" s="290">
        <v>2.2000000000000002</v>
      </c>
      <c r="J341" s="290">
        <v>27.4</v>
      </c>
      <c r="K341" s="290">
        <v>3.7</v>
      </c>
      <c r="L341" s="290">
        <v>142000</v>
      </c>
      <c r="M341" s="290">
        <v>712</v>
      </c>
      <c r="N341" s="290">
        <v>815</v>
      </c>
      <c r="O341" s="290">
        <v>13200</v>
      </c>
      <c r="P341" s="290">
        <v>18900</v>
      </c>
      <c r="Q341" s="290">
        <f t="shared" si="11"/>
        <v>361553.30000000005</v>
      </c>
      <c r="R341" s="270"/>
      <c r="S341" s="270"/>
      <c r="T341" s="270">
        <v>10100</v>
      </c>
      <c r="U341" s="271" t="s">
        <v>101</v>
      </c>
      <c r="V341" s="280"/>
    </row>
    <row r="342" spans="1:22">
      <c r="A342" s="287">
        <v>1</v>
      </c>
      <c r="B342" s="288" t="s">
        <v>64</v>
      </c>
      <c r="C342" s="289">
        <v>4</v>
      </c>
      <c r="D342" s="359">
        <v>45244</v>
      </c>
      <c r="E342" s="290">
        <v>510</v>
      </c>
      <c r="F342" s="290">
        <v>192000</v>
      </c>
      <c r="G342" s="290">
        <v>8740</v>
      </c>
      <c r="H342" s="290" t="s">
        <v>46</v>
      </c>
      <c r="I342" s="290">
        <v>3.3</v>
      </c>
      <c r="J342" s="290">
        <v>31.9</v>
      </c>
      <c r="K342" s="290">
        <v>5.4</v>
      </c>
      <c r="L342" s="290">
        <v>191000</v>
      </c>
      <c r="M342" s="290">
        <v>728</v>
      </c>
      <c r="N342" s="290">
        <v>901</v>
      </c>
      <c r="O342" s="290">
        <v>9710</v>
      </c>
      <c r="P342" s="290">
        <v>29800</v>
      </c>
      <c r="Q342" s="290">
        <f t="shared" si="11"/>
        <v>433429.6</v>
      </c>
      <c r="R342" s="270"/>
      <c r="S342" s="270"/>
      <c r="T342" s="270">
        <v>8790</v>
      </c>
      <c r="U342" s="271" t="s">
        <v>101</v>
      </c>
      <c r="V342" s="280"/>
    </row>
    <row r="343" spans="1:22">
      <c r="A343" s="287">
        <v>1</v>
      </c>
      <c r="B343" s="288" t="s">
        <v>64</v>
      </c>
      <c r="C343" s="289">
        <v>4</v>
      </c>
      <c r="D343" s="359">
        <v>45209</v>
      </c>
      <c r="E343" s="290">
        <v>300</v>
      </c>
      <c r="F343" s="290">
        <v>176000</v>
      </c>
      <c r="G343" s="290">
        <v>6470</v>
      </c>
      <c r="H343" s="290" t="s">
        <v>46</v>
      </c>
      <c r="I343" s="290">
        <v>2.2999999999999998</v>
      </c>
      <c r="J343" s="290">
        <v>27.2</v>
      </c>
      <c r="K343" s="290">
        <v>5</v>
      </c>
      <c r="L343" s="290">
        <v>164000</v>
      </c>
      <c r="M343" s="290">
        <v>846</v>
      </c>
      <c r="N343" s="290">
        <v>579</v>
      </c>
      <c r="O343" s="290">
        <v>15500</v>
      </c>
      <c r="P343" s="290">
        <v>23700</v>
      </c>
      <c r="Q343" s="290">
        <f t="shared" si="11"/>
        <v>387429.5</v>
      </c>
      <c r="R343" s="270"/>
      <c r="S343" s="270"/>
      <c r="T343" s="270">
        <v>4500</v>
      </c>
      <c r="U343" s="271" t="s">
        <v>101</v>
      </c>
      <c r="V343" s="280"/>
    </row>
    <row r="344" spans="1:22">
      <c r="A344" s="287">
        <v>1</v>
      </c>
      <c r="B344" s="288" t="s">
        <v>64</v>
      </c>
      <c r="C344" s="289">
        <v>4</v>
      </c>
      <c r="D344" s="359">
        <v>45160</v>
      </c>
      <c r="E344" s="290">
        <v>835</v>
      </c>
      <c r="F344" s="290">
        <v>194000</v>
      </c>
      <c r="G344" s="290">
        <v>7870</v>
      </c>
      <c r="H344" s="290" t="s">
        <v>46</v>
      </c>
      <c r="I344" s="290">
        <v>2.2000000000000002</v>
      </c>
      <c r="J344" s="290">
        <v>25.9</v>
      </c>
      <c r="K344" s="290">
        <v>3.9</v>
      </c>
      <c r="L344" s="290">
        <v>202000</v>
      </c>
      <c r="M344" s="290">
        <v>557</v>
      </c>
      <c r="N344" s="290">
        <v>624</v>
      </c>
      <c r="O344" s="290">
        <v>13800</v>
      </c>
      <c r="P344" s="290">
        <v>49100</v>
      </c>
      <c r="Q344" s="290">
        <f t="shared" si="11"/>
        <v>468818</v>
      </c>
      <c r="R344" s="270"/>
      <c r="S344" s="270"/>
      <c r="T344" s="270">
        <v>6220</v>
      </c>
      <c r="U344" s="271" t="s">
        <v>101</v>
      </c>
      <c r="V344" s="280"/>
    </row>
    <row r="345" spans="1:22">
      <c r="A345" s="287">
        <v>1</v>
      </c>
      <c r="B345" s="288" t="s">
        <v>64</v>
      </c>
      <c r="C345" s="289">
        <v>4</v>
      </c>
      <c r="D345" s="359">
        <v>45118</v>
      </c>
      <c r="E345" s="290">
        <v>567</v>
      </c>
      <c r="F345" s="290">
        <v>193000</v>
      </c>
      <c r="G345" s="290">
        <v>5220</v>
      </c>
      <c r="H345" s="290" t="s">
        <v>46</v>
      </c>
      <c r="I345" s="290">
        <v>2.2000000000000002</v>
      </c>
      <c r="J345" s="290">
        <v>24.6</v>
      </c>
      <c r="K345" s="290">
        <v>4.5</v>
      </c>
      <c r="L345" s="290">
        <v>188000</v>
      </c>
      <c r="M345" s="290">
        <v>871</v>
      </c>
      <c r="N345" s="290">
        <v>828</v>
      </c>
      <c r="O345" s="290">
        <v>17700</v>
      </c>
      <c r="P345" s="290">
        <v>37300</v>
      </c>
      <c r="Q345" s="290">
        <f t="shared" si="11"/>
        <v>443517.30000000005</v>
      </c>
      <c r="R345" s="270"/>
      <c r="S345" s="270"/>
      <c r="T345" s="270"/>
      <c r="U345" s="271" t="s">
        <v>101</v>
      </c>
      <c r="V345" s="280"/>
    </row>
    <row r="346" spans="1:22">
      <c r="A346" s="287">
        <v>1</v>
      </c>
      <c r="B346" s="288" t="s">
        <v>64</v>
      </c>
      <c r="C346" s="289">
        <v>4</v>
      </c>
      <c r="D346" s="359">
        <v>45097</v>
      </c>
      <c r="E346" s="290">
        <v>336</v>
      </c>
      <c r="F346" s="290">
        <v>112000</v>
      </c>
      <c r="G346" s="290">
        <v>3940</v>
      </c>
      <c r="H346" s="290" t="s">
        <v>46</v>
      </c>
      <c r="I346" s="290">
        <v>1.5</v>
      </c>
      <c r="J346" s="290">
        <v>18.100000000000001</v>
      </c>
      <c r="K346" s="290">
        <v>3</v>
      </c>
      <c r="L346" s="290">
        <v>114000</v>
      </c>
      <c r="M346" s="290">
        <v>503</v>
      </c>
      <c r="N346" s="290">
        <v>499</v>
      </c>
      <c r="O346" s="290">
        <v>11000</v>
      </c>
      <c r="P346" s="290">
        <v>19600</v>
      </c>
      <c r="Q346" s="290">
        <f t="shared" si="11"/>
        <v>261900.6</v>
      </c>
      <c r="R346" s="273"/>
      <c r="S346" s="273"/>
      <c r="T346" s="270">
        <v>6440</v>
      </c>
      <c r="U346" s="271" t="s">
        <v>101</v>
      </c>
      <c r="V346" s="280"/>
    </row>
    <row r="347" spans="1:22">
      <c r="A347" s="287">
        <v>1</v>
      </c>
      <c r="B347" s="288" t="s">
        <v>64</v>
      </c>
      <c r="C347" s="289">
        <v>4</v>
      </c>
      <c r="D347" s="359">
        <v>45062</v>
      </c>
      <c r="E347" s="290">
        <v>415</v>
      </c>
      <c r="F347" s="290">
        <v>155000</v>
      </c>
      <c r="G347" s="290">
        <v>4770</v>
      </c>
      <c r="H347" s="290" t="s">
        <v>46</v>
      </c>
      <c r="I347" s="290">
        <v>1.7</v>
      </c>
      <c r="J347" s="290">
        <v>20.399999999999999</v>
      </c>
      <c r="K347" s="290">
        <v>3.3</v>
      </c>
      <c r="L347" s="290">
        <v>211000</v>
      </c>
      <c r="M347" s="290">
        <v>707</v>
      </c>
      <c r="N347" s="290">
        <v>551</v>
      </c>
      <c r="O347" s="290">
        <v>15900</v>
      </c>
      <c r="P347" s="290">
        <v>14600</v>
      </c>
      <c r="Q347" s="290">
        <f t="shared" si="11"/>
        <v>402968.4</v>
      </c>
      <c r="R347" s="270"/>
      <c r="S347" s="270"/>
      <c r="T347" s="12"/>
      <c r="U347" s="336"/>
      <c r="V347" s="280"/>
    </row>
    <row r="348" spans="1:22">
      <c r="A348" s="287">
        <v>1</v>
      </c>
      <c r="B348" s="288" t="s">
        <v>64</v>
      </c>
      <c r="C348" s="289">
        <v>4</v>
      </c>
      <c r="D348" s="359">
        <v>44978</v>
      </c>
      <c r="E348" s="290">
        <v>952</v>
      </c>
      <c r="F348" s="290">
        <v>136000</v>
      </c>
      <c r="G348" s="290">
        <v>6140</v>
      </c>
      <c r="H348" s="290" t="s">
        <v>46</v>
      </c>
      <c r="I348" s="290">
        <v>1.6</v>
      </c>
      <c r="J348" s="290">
        <v>21.3</v>
      </c>
      <c r="K348" s="290">
        <v>2.2000000000000002</v>
      </c>
      <c r="L348" s="290">
        <v>312000</v>
      </c>
      <c r="M348" s="290">
        <v>679</v>
      </c>
      <c r="N348" s="290">
        <v>1260</v>
      </c>
      <c r="O348" s="290">
        <v>11500</v>
      </c>
      <c r="P348" s="290">
        <v>59100</v>
      </c>
      <c r="Q348" s="290">
        <f t="shared" si="11"/>
        <v>527656.1</v>
      </c>
      <c r="R348" s="270"/>
      <c r="S348" s="270"/>
      <c r="T348" s="270">
        <v>3770</v>
      </c>
      <c r="U348" s="271" t="s">
        <v>101</v>
      </c>
      <c r="V348" s="280"/>
    </row>
    <row r="349" spans="1:22">
      <c r="A349" s="287">
        <v>1</v>
      </c>
      <c r="B349" s="288" t="s">
        <v>64</v>
      </c>
      <c r="C349" s="289">
        <v>4</v>
      </c>
      <c r="D349" s="359">
        <v>44950</v>
      </c>
      <c r="E349" s="290">
        <v>619</v>
      </c>
      <c r="F349" s="290">
        <v>212000</v>
      </c>
      <c r="G349" s="290">
        <v>5770</v>
      </c>
      <c r="H349" s="290" t="s">
        <v>46</v>
      </c>
      <c r="I349" s="290">
        <v>1.6</v>
      </c>
      <c r="J349" s="290">
        <v>21.1</v>
      </c>
      <c r="K349" s="290">
        <v>1.8</v>
      </c>
      <c r="L349" s="290">
        <v>274000</v>
      </c>
      <c r="M349" s="290">
        <v>755</v>
      </c>
      <c r="N349" s="290">
        <v>968</v>
      </c>
      <c r="O349" s="290">
        <v>13100</v>
      </c>
      <c r="P349" s="290">
        <v>33000</v>
      </c>
      <c r="Q349" s="290">
        <f t="shared" si="11"/>
        <v>540236.5</v>
      </c>
      <c r="R349" s="270"/>
      <c r="S349" s="270"/>
      <c r="T349" s="270">
        <v>2900</v>
      </c>
      <c r="U349" s="271" t="s">
        <v>101</v>
      </c>
      <c r="V349" s="280"/>
    </row>
    <row r="350" spans="1:22">
      <c r="A350" s="287">
        <v>1</v>
      </c>
      <c r="B350" s="288" t="s">
        <v>64</v>
      </c>
      <c r="C350" s="289">
        <v>4</v>
      </c>
      <c r="D350" s="359">
        <v>44909</v>
      </c>
      <c r="E350" s="290">
        <v>945</v>
      </c>
      <c r="F350" s="290">
        <v>209000</v>
      </c>
      <c r="G350" s="290">
        <v>5370</v>
      </c>
      <c r="H350" s="290" t="s">
        <v>46</v>
      </c>
      <c r="I350" s="290">
        <v>1.6</v>
      </c>
      <c r="J350" s="290">
        <v>21.9</v>
      </c>
      <c r="K350" s="290">
        <v>2.1</v>
      </c>
      <c r="L350" s="290">
        <v>254000</v>
      </c>
      <c r="M350" s="290">
        <v>876</v>
      </c>
      <c r="N350" s="290">
        <v>982</v>
      </c>
      <c r="O350" s="290">
        <v>12100</v>
      </c>
      <c r="P350" s="290">
        <v>19900</v>
      </c>
      <c r="Q350" s="290">
        <f t="shared" si="11"/>
        <v>503198.6</v>
      </c>
      <c r="R350" s="270"/>
      <c r="S350" s="270"/>
      <c r="T350" s="270">
        <v>2170</v>
      </c>
      <c r="U350" s="271" t="s">
        <v>101</v>
      </c>
      <c r="V350" s="280"/>
    </row>
    <row r="351" spans="1:22">
      <c r="A351" s="287">
        <v>1</v>
      </c>
      <c r="B351" s="288" t="s">
        <v>64</v>
      </c>
      <c r="C351" s="289">
        <v>4</v>
      </c>
      <c r="D351" s="359">
        <v>44880</v>
      </c>
      <c r="E351" s="290">
        <v>649</v>
      </c>
      <c r="F351" s="290">
        <v>212000</v>
      </c>
      <c r="G351" s="290">
        <v>6270</v>
      </c>
      <c r="H351" s="290">
        <v>1</v>
      </c>
      <c r="I351" s="290">
        <v>1.8</v>
      </c>
      <c r="J351" s="290">
        <v>17.399999999999999</v>
      </c>
      <c r="K351" s="290">
        <v>1.4</v>
      </c>
      <c r="L351" s="290">
        <v>190000</v>
      </c>
      <c r="M351" s="290">
        <v>556</v>
      </c>
      <c r="N351" s="290">
        <v>601</v>
      </c>
      <c r="O351" s="290">
        <v>6900</v>
      </c>
      <c r="P351" s="290">
        <v>52200</v>
      </c>
      <c r="Q351" s="290">
        <f t="shared" si="11"/>
        <v>469197.6</v>
      </c>
      <c r="R351" s="270"/>
      <c r="S351" s="270"/>
      <c r="T351" s="270">
        <v>2080</v>
      </c>
      <c r="U351" s="271" t="s">
        <v>101</v>
      </c>
      <c r="V351" s="280"/>
    </row>
    <row r="352" spans="1:22">
      <c r="A352" s="287">
        <v>1</v>
      </c>
      <c r="B352" s="288" t="s">
        <v>64</v>
      </c>
      <c r="C352" s="289">
        <v>4</v>
      </c>
      <c r="D352" s="359">
        <v>44852</v>
      </c>
      <c r="E352" s="290">
        <v>859</v>
      </c>
      <c r="F352" s="290">
        <v>188000</v>
      </c>
      <c r="G352" s="290">
        <v>5380</v>
      </c>
      <c r="H352" s="290" t="s">
        <v>46</v>
      </c>
      <c r="I352" s="290">
        <v>1.4</v>
      </c>
      <c r="J352" s="290">
        <v>18.8</v>
      </c>
      <c r="K352" s="290">
        <v>1.2</v>
      </c>
      <c r="L352" s="290">
        <v>182000</v>
      </c>
      <c r="M352" s="290">
        <v>555</v>
      </c>
      <c r="N352" s="290">
        <v>701</v>
      </c>
      <c r="O352" s="290">
        <v>5860</v>
      </c>
      <c r="P352" s="290">
        <v>31200</v>
      </c>
      <c r="Q352" s="290">
        <f t="shared" si="11"/>
        <v>414576.4</v>
      </c>
      <c r="R352" s="270"/>
      <c r="S352" s="270"/>
      <c r="T352" s="270">
        <v>1610</v>
      </c>
      <c r="U352" s="271" t="s">
        <v>101</v>
      </c>
      <c r="V352" s="280"/>
    </row>
    <row r="353" spans="1:22">
      <c r="A353" s="287">
        <v>1</v>
      </c>
      <c r="B353" s="288" t="s">
        <v>64</v>
      </c>
      <c r="C353" s="289">
        <v>4</v>
      </c>
      <c r="D353" s="359">
        <v>44796</v>
      </c>
      <c r="E353" s="290">
        <v>1230</v>
      </c>
      <c r="F353" s="290">
        <v>357000</v>
      </c>
      <c r="G353" s="290">
        <v>6680</v>
      </c>
      <c r="H353" s="290" t="s">
        <v>46</v>
      </c>
      <c r="I353" s="290">
        <v>1.6</v>
      </c>
      <c r="J353" s="290">
        <v>30.5</v>
      </c>
      <c r="K353" s="290" t="s">
        <v>46</v>
      </c>
      <c r="L353" s="290">
        <v>157000</v>
      </c>
      <c r="M353" s="290">
        <v>454</v>
      </c>
      <c r="N353" s="290">
        <v>418</v>
      </c>
      <c r="O353" s="290">
        <v>2360</v>
      </c>
      <c r="P353" s="290">
        <v>46500</v>
      </c>
      <c r="Q353" s="290">
        <f t="shared" si="11"/>
        <v>571674.1</v>
      </c>
      <c r="R353" s="270"/>
      <c r="S353" s="270"/>
      <c r="T353" s="270">
        <v>2280</v>
      </c>
      <c r="U353" s="271" t="s">
        <v>101</v>
      </c>
      <c r="V353" s="280"/>
    </row>
    <row r="354" spans="1:22">
      <c r="A354" s="287">
        <v>1</v>
      </c>
      <c r="B354" s="288" t="s">
        <v>64</v>
      </c>
      <c r="C354" s="289">
        <v>4</v>
      </c>
      <c r="D354" s="359">
        <v>44720</v>
      </c>
      <c r="E354" s="290">
        <v>3330</v>
      </c>
      <c r="F354" s="290">
        <v>673000</v>
      </c>
      <c r="G354" s="290">
        <v>12500</v>
      </c>
      <c r="H354" s="290" t="s">
        <v>46</v>
      </c>
      <c r="I354" s="290">
        <v>2.2000000000000002</v>
      </c>
      <c r="J354" s="290">
        <v>36.4</v>
      </c>
      <c r="K354" s="290" t="s">
        <v>46</v>
      </c>
      <c r="L354" s="290">
        <v>47100</v>
      </c>
      <c r="M354" s="290">
        <v>235</v>
      </c>
      <c r="N354" s="290">
        <v>108</v>
      </c>
      <c r="O354" s="290">
        <v>1710</v>
      </c>
      <c r="P354" s="290">
        <v>60000</v>
      </c>
      <c r="Q354" s="290">
        <f t="shared" si="11"/>
        <v>798021.6</v>
      </c>
      <c r="R354" s="270"/>
      <c r="S354" s="270"/>
      <c r="T354" s="270">
        <v>950</v>
      </c>
      <c r="U354" s="271" t="s">
        <v>101</v>
      </c>
      <c r="V354" s="280"/>
    </row>
    <row r="355" spans="1:22">
      <c r="A355" s="287">
        <v>1</v>
      </c>
      <c r="B355" s="288" t="s">
        <v>64</v>
      </c>
      <c r="C355" s="289">
        <v>4</v>
      </c>
      <c r="D355" s="359">
        <v>44704</v>
      </c>
      <c r="E355" s="290">
        <v>1550</v>
      </c>
      <c r="F355" s="290">
        <v>485000</v>
      </c>
      <c r="G355" s="290">
        <v>6920</v>
      </c>
      <c r="H355" s="290" t="s">
        <v>46</v>
      </c>
      <c r="I355" s="290">
        <v>1.1000000000000001</v>
      </c>
      <c r="J355" s="290">
        <v>28</v>
      </c>
      <c r="K355" s="290" t="s">
        <v>46</v>
      </c>
      <c r="L355" s="290">
        <v>111000</v>
      </c>
      <c r="M355" s="290">
        <v>363</v>
      </c>
      <c r="N355" s="290">
        <v>246</v>
      </c>
      <c r="O355" s="290">
        <v>1930</v>
      </c>
      <c r="P355" s="290">
        <v>37400</v>
      </c>
      <c r="Q355" s="290">
        <f t="shared" si="11"/>
        <v>644438.1</v>
      </c>
      <c r="R355" s="270" t="s">
        <v>36</v>
      </c>
      <c r="S355" s="270">
        <v>190</v>
      </c>
      <c r="T355" s="270">
        <v>850</v>
      </c>
      <c r="U355" s="271" t="s">
        <v>101</v>
      </c>
      <c r="V355" s="280"/>
    </row>
    <row r="356" spans="1:22">
      <c r="A356" s="287">
        <v>2</v>
      </c>
      <c r="B356" s="288" t="s">
        <v>64</v>
      </c>
      <c r="C356" s="289">
        <v>4</v>
      </c>
      <c r="D356" s="359">
        <v>44676</v>
      </c>
      <c r="E356" s="290">
        <v>394</v>
      </c>
      <c r="F356" s="290">
        <v>67800</v>
      </c>
      <c r="G356" s="290">
        <v>2550</v>
      </c>
      <c r="H356" s="290" t="s">
        <v>46</v>
      </c>
      <c r="I356" s="290">
        <v>0.6</v>
      </c>
      <c r="J356" s="290">
        <v>10.8</v>
      </c>
      <c r="K356" s="290" t="s">
        <v>46</v>
      </c>
      <c r="L356" s="290">
        <v>2420</v>
      </c>
      <c r="M356" s="290">
        <v>16.399999999999999</v>
      </c>
      <c r="N356" s="290">
        <v>21.7</v>
      </c>
      <c r="O356" s="290" t="s">
        <v>46</v>
      </c>
      <c r="P356" s="290">
        <v>30400</v>
      </c>
      <c r="Q356" s="290">
        <f t="shared" si="11"/>
        <v>103613.5</v>
      </c>
      <c r="R356" s="270"/>
      <c r="S356" s="270"/>
      <c r="T356" s="270"/>
      <c r="U356" s="271"/>
      <c r="V356" s="280"/>
    </row>
    <row r="357" spans="1:22">
      <c r="A357" s="287">
        <v>2</v>
      </c>
      <c r="B357" s="288" t="s">
        <v>64</v>
      </c>
      <c r="C357" s="289">
        <v>4</v>
      </c>
      <c r="D357" s="359">
        <v>44280</v>
      </c>
      <c r="E357" s="290">
        <v>318</v>
      </c>
      <c r="F357" s="290">
        <v>164000</v>
      </c>
      <c r="G357" s="290">
        <v>6930</v>
      </c>
      <c r="H357" s="290">
        <v>1.5</v>
      </c>
      <c r="I357" s="290">
        <v>1.5</v>
      </c>
      <c r="J357" s="290">
        <v>9.8000000000000007</v>
      </c>
      <c r="K357" s="290">
        <v>3.6</v>
      </c>
      <c r="L357" s="290">
        <v>261000</v>
      </c>
      <c r="M357" s="290">
        <v>1110</v>
      </c>
      <c r="N357" s="290">
        <v>2300</v>
      </c>
      <c r="O357" s="290">
        <v>17700</v>
      </c>
      <c r="P357" s="290">
        <v>3430</v>
      </c>
      <c r="Q357" s="290">
        <f t="shared" si="11"/>
        <v>456804.4</v>
      </c>
      <c r="R357" s="270"/>
      <c r="S357" s="270"/>
      <c r="T357" s="270"/>
      <c r="U357" s="271"/>
      <c r="V357" s="280"/>
    </row>
    <row r="358" spans="1:22">
      <c r="A358" s="287">
        <v>2</v>
      </c>
      <c r="B358" s="288" t="s">
        <v>64</v>
      </c>
      <c r="C358" s="289">
        <v>4</v>
      </c>
      <c r="D358" s="359">
        <v>44249</v>
      </c>
      <c r="E358" s="290">
        <v>226</v>
      </c>
      <c r="F358" s="290">
        <v>119000</v>
      </c>
      <c r="G358" s="290">
        <v>6730</v>
      </c>
      <c r="H358" s="290" t="s">
        <v>46</v>
      </c>
      <c r="I358" s="290">
        <v>1.3</v>
      </c>
      <c r="J358" s="290">
        <v>7.2</v>
      </c>
      <c r="K358" s="290">
        <v>3</v>
      </c>
      <c r="L358" s="290">
        <v>335000</v>
      </c>
      <c r="M358" s="290">
        <v>946</v>
      </c>
      <c r="N358" s="290">
        <v>2460</v>
      </c>
      <c r="O358" s="290">
        <v>14200</v>
      </c>
      <c r="P358" s="290">
        <v>3900</v>
      </c>
      <c r="Q358" s="290">
        <f t="shared" si="11"/>
        <v>482473.5</v>
      </c>
      <c r="R358" s="270"/>
      <c r="S358" s="270"/>
      <c r="T358" s="270"/>
      <c r="U358" s="271"/>
      <c r="V358" s="280"/>
    </row>
    <row r="359" spans="1:22">
      <c r="A359" s="287">
        <v>2</v>
      </c>
      <c r="B359" s="288" t="s">
        <v>64</v>
      </c>
      <c r="C359" s="289">
        <v>4</v>
      </c>
      <c r="D359" s="359">
        <v>44217</v>
      </c>
      <c r="E359" s="290">
        <v>228</v>
      </c>
      <c r="F359" s="290">
        <v>83100</v>
      </c>
      <c r="G359" s="290">
        <v>7460</v>
      </c>
      <c r="H359" s="290" t="s">
        <v>46</v>
      </c>
      <c r="I359" s="290">
        <v>1.8</v>
      </c>
      <c r="J359" s="290" t="s">
        <v>48</v>
      </c>
      <c r="K359" s="290">
        <v>4.2</v>
      </c>
      <c r="L359" s="290">
        <v>231000</v>
      </c>
      <c r="M359" s="290">
        <v>452</v>
      </c>
      <c r="N359" s="290">
        <v>609</v>
      </c>
      <c r="O359" s="290">
        <v>15100</v>
      </c>
      <c r="P359" s="290">
        <v>2430</v>
      </c>
      <c r="Q359" s="290">
        <f t="shared" si="11"/>
        <v>340385</v>
      </c>
      <c r="R359" s="270"/>
      <c r="S359" s="270"/>
      <c r="T359" s="270"/>
      <c r="U359" s="271"/>
      <c r="V359" s="280"/>
    </row>
    <row r="360" spans="1:22">
      <c r="A360" s="287">
        <v>2</v>
      </c>
      <c r="B360" s="288" t="s">
        <v>64</v>
      </c>
      <c r="C360" s="289">
        <v>4</v>
      </c>
      <c r="D360" s="359">
        <v>44186</v>
      </c>
      <c r="E360" s="290">
        <v>183</v>
      </c>
      <c r="F360" s="290">
        <v>84500</v>
      </c>
      <c r="G360" s="290">
        <v>6270</v>
      </c>
      <c r="H360" s="290"/>
      <c r="I360" s="290">
        <v>1.4</v>
      </c>
      <c r="J360" s="290">
        <v>3.4</v>
      </c>
      <c r="K360" s="290">
        <v>3.4</v>
      </c>
      <c r="L360" s="290">
        <v>410000</v>
      </c>
      <c r="M360" s="290">
        <v>611</v>
      </c>
      <c r="N360" s="290">
        <v>858</v>
      </c>
      <c r="O360" s="290">
        <v>1260</v>
      </c>
      <c r="P360" s="290">
        <v>2930</v>
      </c>
      <c r="Q360" s="290">
        <f t="shared" si="11"/>
        <v>506620.19999999995</v>
      </c>
      <c r="R360" s="270"/>
      <c r="S360" s="270"/>
      <c r="T360" s="270"/>
      <c r="U360" s="271"/>
      <c r="V360" s="280"/>
    </row>
    <row r="361" spans="1:22" ht="15" thickBot="1">
      <c r="A361" s="297">
        <v>2</v>
      </c>
      <c r="B361" s="298" t="s">
        <v>64</v>
      </c>
      <c r="C361" s="299">
        <v>4</v>
      </c>
      <c r="D361" s="360">
        <v>44174</v>
      </c>
      <c r="E361" s="300">
        <v>182</v>
      </c>
      <c r="F361" s="300">
        <v>68400</v>
      </c>
      <c r="G361" s="300">
        <v>6520</v>
      </c>
      <c r="H361" s="300" t="s">
        <v>46</v>
      </c>
      <c r="I361" s="300">
        <v>1.6</v>
      </c>
      <c r="J361" s="300">
        <v>2.9</v>
      </c>
      <c r="K361" s="300">
        <v>4.0999999999999996</v>
      </c>
      <c r="L361" s="300">
        <v>578000</v>
      </c>
      <c r="M361" s="300">
        <v>527</v>
      </c>
      <c r="N361" s="300">
        <v>816</v>
      </c>
      <c r="O361" s="300">
        <v>1730</v>
      </c>
      <c r="P361" s="300">
        <v>1920</v>
      </c>
      <c r="Q361" s="300">
        <f t="shared" si="11"/>
        <v>658103.6</v>
      </c>
      <c r="R361" s="295"/>
      <c r="S361" s="295"/>
      <c r="T361" s="295"/>
      <c r="U361" s="296"/>
      <c r="V361" s="280"/>
    </row>
    <row r="362" spans="1:22" ht="15" thickBot="1">
      <c r="A362" s="337">
        <v>2</v>
      </c>
      <c r="B362" s="338" t="s">
        <v>64</v>
      </c>
      <c r="C362" s="339">
        <v>4</v>
      </c>
      <c r="D362" s="366">
        <v>44160</v>
      </c>
      <c r="E362" s="340">
        <v>57.4</v>
      </c>
      <c r="F362" s="341">
        <v>25600</v>
      </c>
      <c r="G362" s="340">
        <v>1270</v>
      </c>
      <c r="H362" s="340" t="s">
        <v>46</v>
      </c>
      <c r="I362" s="340" t="s">
        <v>36</v>
      </c>
      <c r="J362" s="340">
        <v>1.6</v>
      </c>
      <c r="K362" s="340" t="s">
        <v>46</v>
      </c>
      <c r="L362" s="340">
        <v>56400</v>
      </c>
      <c r="M362" s="340">
        <v>162</v>
      </c>
      <c r="N362" s="340">
        <v>494</v>
      </c>
      <c r="O362" s="340">
        <v>2130</v>
      </c>
      <c r="P362" s="340">
        <v>1850</v>
      </c>
      <c r="Q362" s="340">
        <f t="shared" si="11"/>
        <v>87965</v>
      </c>
      <c r="R362" s="342"/>
      <c r="S362" s="342"/>
      <c r="T362" s="342"/>
      <c r="U362" s="343"/>
      <c r="V362" s="280"/>
    </row>
    <row r="363" spans="1:22" ht="15" thickBot="1">
      <c r="A363" s="321"/>
      <c r="C363" s="322"/>
      <c r="E363" s="265"/>
      <c r="F363" s="265"/>
      <c r="G363" s="265"/>
      <c r="H363" s="265"/>
      <c r="I363" s="265"/>
      <c r="J363" s="265"/>
      <c r="K363" s="265"/>
      <c r="L363" s="265"/>
      <c r="M363" s="265"/>
      <c r="N363" s="265"/>
      <c r="O363" s="265"/>
      <c r="P363" s="265"/>
      <c r="Q363" s="265"/>
      <c r="R363" s="280"/>
      <c r="S363" s="280"/>
      <c r="T363" s="280"/>
      <c r="U363" s="280"/>
      <c r="V363" s="280"/>
    </row>
    <row r="364" spans="1:22" ht="15" thickBot="1">
      <c r="A364" s="313">
        <v>3</v>
      </c>
      <c r="B364" s="314" t="s">
        <v>64</v>
      </c>
      <c r="C364" s="315">
        <v>5</v>
      </c>
      <c r="D364" s="363">
        <v>44285</v>
      </c>
      <c r="E364" s="316">
        <v>738</v>
      </c>
      <c r="F364" s="317">
        <v>184000</v>
      </c>
      <c r="G364" s="316">
        <v>7460</v>
      </c>
      <c r="H364" s="316" t="s">
        <v>46</v>
      </c>
      <c r="I364" s="316">
        <v>3.4</v>
      </c>
      <c r="J364" s="316">
        <v>29.2</v>
      </c>
      <c r="K364" s="316">
        <v>2.8</v>
      </c>
      <c r="L364" s="316">
        <v>170000</v>
      </c>
      <c r="M364" s="316">
        <v>972</v>
      </c>
      <c r="N364" s="316">
        <v>452</v>
      </c>
      <c r="O364" s="316">
        <v>7520</v>
      </c>
      <c r="P364" s="316">
        <v>1590</v>
      </c>
      <c r="Q364" s="316">
        <f>SUM(E364:P364)</f>
        <v>372767.4</v>
      </c>
      <c r="R364" s="318" t="s">
        <v>36</v>
      </c>
      <c r="S364" s="318">
        <v>226</v>
      </c>
      <c r="T364" s="318"/>
      <c r="U364" s="344"/>
      <c r="V364" s="345"/>
    </row>
    <row r="365" spans="1:22" ht="15" thickBot="1">
      <c r="A365" s="321"/>
      <c r="C365" s="322"/>
      <c r="E365" s="265"/>
      <c r="F365" s="265"/>
      <c r="G365" s="265"/>
      <c r="H365" s="280"/>
      <c r="I365" s="265"/>
      <c r="J365" s="265"/>
      <c r="K365" s="280"/>
      <c r="L365" s="265"/>
      <c r="M365" s="265"/>
      <c r="N365" s="265"/>
      <c r="O365" s="265"/>
      <c r="P365" s="265"/>
      <c r="Q365" s="265"/>
      <c r="R365" s="280"/>
      <c r="S365" s="280"/>
      <c r="T365" s="280"/>
      <c r="U365" s="280"/>
      <c r="V365" s="280"/>
    </row>
    <row r="366" spans="1:22">
      <c r="A366" s="326">
        <v>1</v>
      </c>
      <c r="B366" s="327" t="s">
        <v>67</v>
      </c>
      <c r="C366" s="328">
        <v>1</v>
      </c>
      <c r="D366" s="364">
        <v>45672</v>
      </c>
      <c r="E366" s="329" t="s">
        <v>46</v>
      </c>
      <c r="F366" s="329" t="s">
        <v>46</v>
      </c>
      <c r="G366" s="329" t="s">
        <v>46</v>
      </c>
      <c r="H366" s="329" t="s">
        <v>46</v>
      </c>
      <c r="I366" s="329" t="s">
        <v>36</v>
      </c>
      <c r="J366" s="329" t="s">
        <v>48</v>
      </c>
      <c r="K366" s="329" t="s">
        <v>46</v>
      </c>
      <c r="L366" s="329" t="s">
        <v>46</v>
      </c>
      <c r="M366" s="329" t="s">
        <v>46</v>
      </c>
      <c r="N366" s="329" t="s">
        <v>46</v>
      </c>
      <c r="O366" s="329" t="s">
        <v>46</v>
      </c>
      <c r="P366" s="329" t="s">
        <v>33</v>
      </c>
      <c r="Q366" s="329">
        <f>SUM(E366:P366)</f>
        <v>0</v>
      </c>
      <c r="R366" s="285" t="s">
        <v>36</v>
      </c>
      <c r="S366" s="285" t="s">
        <v>50</v>
      </c>
      <c r="T366" s="285" t="s">
        <v>101</v>
      </c>
      <c r="U366" s="286"/>
      <c r="V366" s="280" t="s">
        <v>46</v>
      </c>
    </row>
    <row r="367" spans="1:22" ht="15" thickBot="1">
      <c r="A367" s="308">
        <v>1</v>
      </c>
      <c r="B367" s="309" t="s">
        <v>67</v>
      </c>
      <c r="C367" s="310">
        <v>1</v>
      </c>
      <c r="D367" s="362">
        <v>44159</v>
      </c>
      <c r="E367" s="311" t="s">
        <v>46</v>
      </c>
      <c r="F367" s="311">
        <v>38</v>
      </c>
      <c r="G367" s="311">
        <v>5.4</v>
      </c>
      <c r="H367" s="311" t="s">
        <v>46</v>
      </c>
      <c r="I367" s="311" t="s">
        <v>36</v>
      </c>
      <c r="J367" s="311" t="s">
        <v>48</v>
      </c>
      <c r="K367" s="311" t="s">
        <v>46</v>
      </c>
      <c r="L367" s="311">
        <v>10.8</v>
      </c>
      <c r="M367" s="311" t="s">
        <v>46</v>
      </c>
      <c r="N367" s="311" t="s">
        <v>46</v>
      </c>
      <c r="O367" s="311" t="s">
        <v>46</v>
      </c>
      <c r="P367" s="311">
        <v>2.6</v>
      </c>
      <c r="Q367" s="311">
        <f>SUM(E367:P367)</f>
        <v>56.800000000000004</v>
      </c>
      <c r="R367" s="295"/>
      <c r="S367" s="295"/>
      <c r="T367" s="295"/>
      <c r="U367" s="296"/>
      <c r="V367" s="280"/>
    </row>
    <row r="368" spans="1:22" ht="15" thickBot="1">
      <c r="A368" s="321"/>
      <c r="C368" s="322"/>
      <c r="E368" s="265"/>
      <c r="F368" s="265"/>
      <c r="G368" s="265"/>
      <c r="H368" s="280"/>
      <c r="I368" s="265"/>
      <c r="J368" s="265"/>
      <c r="K368" s="280"/>
      <c r="L368" s="265"/>
      <c r="M368" s="265"/>
      <c r="N368" s="265"/>
      <c r="O368" s="265"/>
      <c r="P368" s="265"/>
      <c r="Q368" s="265"/>
      <c r="R368" s="280"/>
      <c r="S368" s="280"/>
      <c r="T368" s="280"/>
      <c r="U368" s="280"/>
      <c r="V368" s="280"/>
    </row>
    <row r="369" spans="1:22">
      <c r="A369" s="281">
        <v>1</v>
      </c>
      <c r="B369" s="282" t="s">
        <v>67</v>
      </c>
      <c r="C369" s="283">
        <v>2</v>
      </c>
      <c r="D369" s="358">
        <v>45783</v>
      </c>
      <c r="E369" s="284" t="s">
        <v>46</v>
      </c>
      <c r="F369" s="284" t="s">
        <v>46</v>
      </c>
      <c r="G369" s="284" t="s">
        <v>46</v>
      </c>
      <c r="H369" s="284" t="s">
        <v>46</v>
      </c>
      <c r="I369" s="284" t="s">
        <v>36</v>
      </c>
      <c r="J369" s="284" t="s">
        <v>48</v>
      </c>
      <c r="K369" s="284" t="s">
        <v>46</v>
      </c>
      <c r="L369" s="284" t="s">
        <v>46</v>
      </c>
      <c r="M369" s="284" t="s">
        <v>46</v>
      </c>
      <c r="N369" s="284" t="s">
        <v>46</v>
      </c>
      <c r="O369" s="284" t="s">
        <v>46</v>
      </c>
      <c r="P369" s="284" t="s">
        <v>33</v>
      </c>
      <c r="Q369" s="284">
        <f t="shared" ref="Q369:Q390" si="13">SUM(E369:P369)</f>
        <v>0</v>
      </c>
      <c r="R369" s="285" t="s">
        <v>36</v>
      </c>
      <c r="S369" s="285" t="s">
        <v>50</v>
      </c>
      <c r="T369" s="285" t="s">
        <v>101</v>
      </c>
      <c r="U369" s="286"/>
      <c r="V369" s="280" t="s">
        <v>46</v>
      </c>
    </row>
    <row r="370" spans="1:22">
      <c r="A370" s="287">
        <v>1</v>
      </c>
      <c r="B370" s="288" t="s">
        <v>67</v>
      </c>
      <c r="C370" s="289">
        <v>2</v>
      </c>
      <c r="D370" s="359">
        <v>45567</v>
      </c>
      <c r="E370" s="290" t="s">
        <v>46</v>
      </c>
      <c r="F370" s="290" t="s">
        <v>46</v>
      </c>
      <c r="G370" s="290">
        <v>11</v>
      </c>
      <c r="H370" s="290" t="s">
        <v>46</v>
      </c>
      <c r="I370" s="290" t="s">
        <v>36</v>
      </c>
      <c r="J370" s="290" t="s">
        <v>48</v>
      </c>
      <c r="K370" s="290" t="s">
        <v>46</v>
      </c>
      <c r="L370" s="290" t="s">
        <v>46</v>
      </c>
      <c r="M370" s="290" t="s">
        <v>46</v>
      </c>
      <c r="N370" s="290" t="s">
        <v>46</v>
      </c>
      <c r="O370" s="290" t="s">
        <v>46</v>
      </c>
      <c r="P370" s="290">
        <v>13.7</v>
      </c>
      <c r="Q370" s="290">
        <f t="shared" si="13"/>
        <v>24.7</v>
      </c>
      <c r="R370" s="270"/>
      <c r="S370" s="270"/>
      <c r="T370" s="270" t="s">
        <v>101</v>
      </c>
      <c r="U370" s="271" t="s">
        <v>101</v>
      </c>
      <c r="V370" s="280"/>
    </row>
    <row r="371" spans="1:22">
      <c r="A371" s="287">
        <v>1</v>
      </c>
      <c r="B371" s="288" t="s">
        <v>67</v>
      </c>
      <c r="C371" s="289">
        <v>2</v>
      </c>
      <c r="D371" s="359">
        <v>45510</v>
      </c>
      <c r="E371" s="290" t="s">
        <v>46</v>
      </c>
      <c r="F371" s="290">
        <v>1.3</v>
      </c>
      <c r="G371" s="290" t="s">
        <v>46</v>
      </c>
      <c r="H371" s="290" t="s">
        <v>46</v>
      </c>
      <c r="I371" s="290" t="s">
        <v>36</v>
      </c>
      <c r="J371" s="290" t="s">
        <v>48</v>
      </c>
      <c r="K371" s="290" t="s">
        <v>46</v>
      </c>
      <c r="L371" s="290" t="s">
        <v>46</v>
      </c>
      <c r="M371" s="290" t="s">
        <v>46</v>
      </c>
      <c r="N371" s="290" t="s">
        <v>46</v>
      </c>
      <c r="O371" s="290" t="s">
        <v>46</v>
      </c>
      <c r="P371" s="290">
        <v>0.7</v>
      </c>
      <c r="Q371" s="290">
        <f t="shared" si="13"/>
        <v>2</v>
      </c>
      <c r="R371" s="270"/>
      <c r="S371" s="270"/>
      <c r="T371" s="270" t="s">
        <v>101</v>
      </c>
      <c r="U371" s="271" t="s">
        <v>101</v>
      </c>
      <c r="V371" s="280"/>
    </row>
    <row r="372" spans="1:22">
      <c r="A372" s="287">
        <v>1</v>
      </c>
      <c r="B372" s="288" t="s">
        <v>67</v>
      </c>
      <c r="C372" s="289">
        <v>2</v>
      </c>
      <c r="D372" s="359">
        <v>45426</v>
      </c>
      <c r="E372" s="290" t="s">
        <v>46</v>
      </c>
      <c r="F372" s="290">
        <v>3.5</v>
      </c>
      <c r="G372" s="290">
        <v>28.2</v>
      </c>
      <c r="H372" s="290" t="s">
        <v>46</v>
      </c>
      <c r="I372" s="290" t="s">
        <v>36</v>
      </c>
      <c r="J372" s="290" t="s">
        <v>48</v>
      </c>
      <c r="K372" s="290" t="s">
        <v>46</v>
      </c>
      <c r="L372" s="290" t="s">
        <v>46</v>
      </c>
      <c r="M372" s="290" t="s">
        <v>46</v>
      </c>
      <c r="N372" s="290" t="s">
        <v>46</v>
      </c>
      <c r="O372" s="290" t="s">
        <v>46</v>
      </c>
      <c r="P372" s="290">
        <v>16.3</v>
      </c>
      <c r="Q372" s="290">
        <f t="shared" si="13"/>
        <v>48</v>
      </c>
      <c r="R372" s="270"/>
      <c r="S372" s="270"/>
      <c r="T372" s="270" t="s">
        <v>101</v>
      </c>
      <c r="U372" s="271" t="s">
        <v>101</v>
      </c>
      <c r="V372" s="280"/>
    </row>
    <row r="373" spans="1:22">
      <c r="A373" s="287">
        <v>1</v>
      </c>
      <c r="B373" s="288" t="s">
        <v>67</v>
      </c>
      <c r="C373" s="289">
        <v>2</v>
      </c>
      <c r="D373" s="359">
        <v>45328</v>
      </c>
      <c r="E373" s="290" t="s">
        <v>46</v>
      </c>
      <c r="F373" s="290">
        <v>8.8000000000000007</v>
      </c>
      <c r="G373" s="290">
        <v>24.6</v>
      </c>
      <c r="H373" s="290" t="s">
        <v>46</v>
      </c>
      <c r="I373" s="290" t="s">
        <v>36</v>
      </c>
      <c r="J373" s="290" t="s">
        <v>48</v>
      </c>
      <c r="K373" s="290" t="s">
        <v>46</v>
      </c>
      <c r="L373" s="290">
        <v>7</v>
      </c>
      <c r="M373" s="290" t="s">
        <v>46</v>
      </c>
      <c r="N373" s="290" t="s">
        <v>46</v>
      </c>
      <c r="O373" s="290" t="s">
        <v>46</v>
      </c>
      <c r="P373" s="290">
        <v>19</v>
      </c>
      <c r="Q373" s="290">
        <f t="shared" si="13"/>
        <v>59.400000000000006</v>
      </c>
      <c r="R373" s="270"/>
      <c r="S373" s="270"/>
      <c r="T373" s="270" t="s">
        <v>101</v>
      </c>
      <c r="U373" s="271" t="s">
        <v>101</v>
      </c>
      <c r="V373" s="280"/>
    </row>
    <row r="374" spans="1:22">
      <c r="A374" s="287">
        <v>1</v>
      </c>
      <c r="B374" s="288" t="s">
        <v>67</v>
      </c>
      <c r="C374" s="289">
        <v>2</v>
      </c>
      <c r="D374" s="359">
        <v>45244</v>
      </c>
      <c r="E374" s="290" t="s">
        <v>46</v>
      </c>
      <c r="F374" s="290">
        <v>38.9</v>
      </c>
      <c r="G374" s="290">
        <v>42.8</v>
      </c>
      <c r="H374" s="290" t="s">
        <v>46</v>
      </c>
      <c r="I374" s="290" t="s">
        <v>36</v>
      </c>
      <c r="J374" s="290" t="s">
        <v>48</v>
      </c>
      <c r="K374" s="290" t="s">
        <v>46</v>
      </c>
      <c r="L374" s="290" t="s">
        <v>46</v>
      </c>
      <c r="M374" s="290" t="s">
        <v>46</v>
      </c>
      <c r="N374" s="290" t="s">
        <v>46</v>
      </c>
      <c r="O374" s="290" t="s">
        <v>46</v>
      </c>
      <c r="P374" s="290">
        <v>38.4</v>
      </c>
      <c r="Q374" s="290">
        <f t="shared" si="13"/>
        <v>120.1</v>
      </c>
      <c r="R374" s="270"/>
      <c r="S374" s="270"/>
      <c r="T374" s="270" t="s">
        <v>101</v>
      </c>
      <c r="U374" s="271" t="s">
        <v>101</v>
      </c>
      <c r="V374" s="280"/>
    </row>
    <row r="375" spans="1:22">
      <c r="A375" s="287">
        <v>1</v>
      </c>
      <c r="B375" s="288" t="s">
        <v>67</v>
      </c>
      <c r="C375" s="289">
        <v>2</v>
      </c>
      <c r="D375" s="359">
        <v>45160</v>
      </c>
      <c r="E375" s="290" t="s">
        <v>46</v>
      </c>
      <c r="F375" s="290">
        <v>1.4</v>
      </c>
      <c r="G375" s="290">
        <v>19.3</v>
      </c>
      <c r="H375" s="290" t="s">
        <v>46</v>
      </c>
      <c r="I375" s="290" t="s">
        <v>36</v>
      </c>
      <c r="J375" s="290" t="s">
        <v>48</v>
      </c>
      <c r="K375" s="290" t="s">
        <v>46</v>
      </c>
      <c r="L375" s="290" t="s">
        <v>46</v>
      </c>
      <c r="M375" s="290" t="s">
        <v>46</v>
      </c>
      <c r="N375" s="290" t="s">
        <v>46</v>
      </c>
      <c r="O375" s="290" t="s">
        <v>46</v>
      </c>
      <c r="P375" s="290">
        <v>8.3000000000000007</v>
      </c>
      <c r="Q375" s="290">
        <f t="shared" si="13"/>
        <v>29</v>
      </c>
      <c r="R375" s="270"/>
      <c r="S375" s="270"/>
      <c r="T375" s="270" t="s">
        <v>101</v>
      </c>
      <c r="U375" s="271" t="s">
        <v>101</v>
      </c>
      <c r="V375" s="280"/>
    </row>
    <row r="376" spans="1:22">
      <c r="A376" s="287">
        <v>1</v>
      </c>
      <c r="B376" s="288" t="s">
        <v>67</v>
      </c>
      <c r="C376" s="289">
        <v>2</v>
      </c>
      <c r="D376" s="359">
        <v>45062</v>
      </c>
      <c r="E376" s="290" t="s">
        <v>46</v>
      </c>
      <c r="F376" s="290">
        <v>9.4</v>
      </c>
      <c r="G376" s="290">
        <v>31.2</v>
      </c>
      <c r="H376" s="290" t="s">
        <v>46</v>
      </c>
      <c r="I376" s="290" t="s">
        <v>36</v>
      </c>
      <c r="J376" s="290" t="s">
        <v>48</v>
      </c>
      <c r="K376" s="290" t="s">
        <v>46</v>
      </c>
      <c r="L376" s="290" t="s">
        <v>46</v>
      </c>
      <c r="M376" s="290" t="s">
        <v>46</v>
      </c>
      <c r="N376" s="290" t="s">
        <v>46</v>
      </c>
      <c r="O376" s="290" t="s">
        <v>46</v>
      </c>
      <c r="P376" s="290">
        <v>13.9</v>
      </c>
      <c r="Q376" s="290">
        <f t="shared" si="13"/>
        <v>54.5</v>
      </c>
      <c r="R376" s="270"/>
      <c r="S376" s="270"/>
      <c r="T376" s="270"/>
      <c r="U376" s="271"/>
      <c r="V376" s="280"/>
    </row>
    <row r="377" spans="1:22">
      <c r="A377" s="287">
        <v>1</v>
      </c>
      <c r="B377" s="288" t="s">
        <v>67</v>
      </c>
      <c r="C377" s="289">
        <v>2</v>
      </c>
      <c r="D377" s="359">
        <v>44978</v>
      </c>
      <c r="E377" s="290" t="s">
        <v>46</v>
      </c>
      <c r="F377" s="290">
        <v>18.899999999999999</v>
      </c>
      <c r="G377" s="290">
        <v>11.6</v>
      </c>
      <c r="H377" s="290" t="s">
        <v>46</v>
      </c>
      <c r="I377" s="290" t="s">
        <v>36</v>
      </c>
      <c r="J377" s="290" t="s">
        <v>48</v>
      </c>
      <c r="K377" s="290" t="s">
        <v>46</v>
      </c>
      <c r="L377" s="290">
        <v>13</v>
      </c>
      <c r="M377" s="290" t="s">
        <v>46</v>
      </c>
      <c r="N377" s="290" t="s">
        <v>46</v>
      </c>
      <c r="O377" s="290">
        <v>1</v>
      </c>
      <c r="P377" s="290">
        <v>9.3000000000000007</v>
      </c>
      <c r="Q377" s="290">
        <f t="shared" si="13"/>
        <v>53.8</v>
      </c>
      <c r="R377" s="270"/>
      <c r="S377" s="270"/>
      <c r="T377" s="270" t="s">
        <v>101</v>
      </c>
      <c r="U377" s="271" t="s">
        <v>101</v>
      </c>
      <c r="V377" s="280"/>
    </row>
    <row r="378" spans="1:22">
      <c r="A378" s="287">
        <v>1</v>
      </c>
      <c r="B378" s="288" t="s">
        <v>67</v>
      </c>
      <c r="C378" s="289">
        <v>2</v>
      </c>
      <c r="D378" s="359">
        <v>44880</v>
      </c>
      <c r="E378" s="290" t="s">
        <v>46</v>
      </c>
      <c r="F378" s="290">
        <v>23</v>
      </c>
      <c r="G378" s="290">
        <v>26.7</v>
      </c>
      <c r="H378" s="290" t="s">
        <v>46</v>
      </c>
      <c r="I378" s="290" t="s">
        <v>36</v>
      </c>
      <c r="J378" s="290" t="s">
        <v>48</v>
      </c>
      <c r="K378" s="290" t="s">
        <v>46</v>
      </c>
      <c r="L378" s="290">
        <v>8.1999999999999993</v>
      </c>
      <c r="M378" s="290" t="s">
        <v>46</v>
      </c>
      <c r="N378" s="290" t="s">
        <v>46</v>
      </c>
      <c r="O378" s="290" t="s">
        <v>46</v>
      </c>
      <c r="P378" s="290">
        <v>41.4</v>
      </c>
      <c r="Q378" s="290">
        <f t="shared" si="13"/>
        <v>99.300000000000011</v>
      </c>
      <c r="R378" s="270"/>
      <c r="S378" s="270"/>
      <c r="T378" s="270" t="s">
        <v>101</v>
      </c>
      <c r="U378" s="271" t="s">
        <v>101</v>
      </c>
      <c r="V378" s="280"/>
    </row>
    <row r="379" spans="1:22">
      <c r="A379" s="287">
        <v>1</v>
      </c>
      <c r="B379" s="288" t="s">
        <v>67</v>
      </c>
      <c r="C379" s="289">
        <v>2</v>
      </c>
      <c r="D379" s="359">
        <v>44747</v>
      </c>
      <c r="E379" s="290" t="s">
        <v>46</v>
      </c>
      <c r="F379" s="290" t="s">
        <v>46</v>
      </c>
      <c r="G379" s="290" t="s">
        <v>46</v>
      </c>
      <c r="H379" s="290" t="s">
        <v>46</v>
      </c>
      <c r="I379" s="290" t="s">
        <v>36</v>
      </c>
      <c r="J379" s="290" t="s">
        <v>48</v>
      </c>
      <c r="K379" s="290" t="s">
        <v>46</v>
      </c>
      <c r="L379" s="290" t="s">
        <v>46</v>
      </c>
      <c r="M379" s="290" t="s">
        <v>46</v>
      </c>
      <c r="N379" s="290" t="s">
        <v>46</v>
      </c>
      <c r="O379" s="290" t="s">
        <v>46</v>
      </c>
      <c r="P379" s="290" t="s">
        <v>33</v>
      </c>
      <c r="Q379" s="290">
        <f t="shared" si="13"/>
        <v>0</v>
      </c>
      <c r="R379" s="270"/>
      <c r="S379" s="270"/>
      <c r="T379" s="270" t="s">
        <v>101</v>
      </c>
      <c r="U379" s="271" t="s">
        <v>101</v>
      </c>
      <c r="V379" s="280" t="s">
        <v>46</v>
      </c>
    </row>
    <row r="380" spans="1:22">
      <c r="A380" s="287">
        <v>1</v>
      </c>
      <c r="B380" s="288" t="s">
        <v>67</v>
      </c>
      <c r="C380" s="289">
        <v>2</v>
      </c>
      <c r="D380" s="359">
        <v>44704</v>
      </c>
      <c r="E380" s="290" t="s">
        <v>46</v>
      </c>
      <c r="F380" s="290">
        <v>6.3</v>
      </c>
      <c r="G380" s="290">
        <v>24.4</v>
      </c>
      <c r="H380" s="290" t="s">
        <v>46</v>
      </c>
      <c r="I380" s="290" t="s">
        <v>36</v>
      </c>
      <c r="J380" s="290" t="s">
        <v>48</v>
      </c>
      <c r="K380" s="290" t="s">
        <v>46</v>
      </c>
      <c r="L380" s="290" t="s">
        <v>46</v>
      </c>
      <c r="M380" s="290" t="s">
        <v>46</v>
      </c>
      <c r="N380" s="290" t="s">
        <v>46</v>
      </c>
      <c r="O380" s="290" t="s">
        <v>46</v>
      </c>
      <c r="P380" s="290">
        <v>16.100000000000001</v>
      </c>
      <c r="Q380" s="290">
        <f t="shared" si="13"/>
        <v>46.8</v>
      </c>
      <c r="R380" s="270">
        <v>2.2000000000000002</v>
      </c>
      <c r="S380" s="270" t="s">
        <v>50</v>
      </c>
      <c r="T380" s="270" t="s">
        <v>101</v>
      </c>
      <c r="U380" s="271" t="s">
        <v>101</v>
      </c>
      <c r="V380" s="280"/>
    </row>
    <row r="381" spans="1:22">
      <c r="A381" s="287">
        <v>1</v>
      </c>
      <c r="B381" s="288" t="s">
        <v>67</v>
      </c>
      <c r="C381" s="289">
        <v>2</v>
      </c>
      <c r="D381" s="359">
        <v>44613</v>
      </c>
      <c r="E381" s="290" t="s">
        <v>46</v>
      </c>
      <c r="F381" s="290">
        <v>4.8</v>
      </c>
      <c r="G381" s="290">
        <v>18.100000000000001</v>
      </c>
      <c r="H381" s="290" t="s">
        <v>46</v>
      </c>
      <c r="I381" s="290" t="s">
        <v>36</v>
      </c>
      <c r="J381" s="290" t="s">
        <v>48</v>
      </c>
      <c r="K381" s="290" t="s">
        <v>46</v>
      </c>
      <c r="L381" s="290" t="s">
        <v>46</v>
      </c>
      <c r="M381" s="290" t="s">
        <v>46</v>
      </c>
      <c r="N381" s="290" t="s">
        <v>46</v>
      </c>
      <c r="O381" s="290" t="s">
        <v>46</v>
      </c>
      <c r="P381" s="290">
        <v>13.4</v>
      </c>
      <c r="Q381" s="290">
        <f t="shared" si="13"/>
        <v>36.300000000000004</v>
      </c>
      <c r="R381" s="270"/>
      <c r="S381" s="270"/>
      <c r="T381" s="270" t="s">
        <v>101</v>
      </c>
      <c r="U381" s="271" t="s">
        <v>101</v>
      </c>
      <c r="V381" s="280"/>
    </row>
    <row r="382" spans="1:22">
      <c r="A382" s="287">
        <v>1</v>
      </c>
      <c r="B382" s="288" t="s">
        <v>67</v>
      </c>
      <c r="C382" s="289">
        <v>2</v>
      </c>
      <c r="D382" s="359">
        <v>44515</v>
      </c>
      <c r="E382" s="290" t="s">
        <v>46</v>
      </c>
      <c r="F382" s="290">
        <v>2.8</v>
      </c>
      <c r="G382" s="290">
        <v>14.5</v>
      </c>
      <c r="H382" s="290" t="s">
        <v>46</v>
      </c>
      <c r="I382" s="290" t="s">
        <v>36</v>
      </c>
      <c r="J382" s="290" t="s">
        <v>48</v>
      </c>
      <c r="K382" s="290" t="s">
        <v>46</v>
      </c>
      <c r="L382" s="290" t="s">
        <v>46</v>
      </c>
      <c r="M382" s="290" t="s">
        <v>46</v>
      </c>
      <c r="N382" s="290" t="s">
        <v>46</v>
      </c>
      <c r="O382" s="290" t="s">
        <v>46</v>
      </c>
      <c r="P382" s="290">
        <v>6.1</v>
      </c>
      <c r="Q382" s="290">
        <f t="shared" si="13"/>
        <v>23.4</v>
      </c>
      <c r="R382" s="270"/>
      <c r="S382" s="270"/>
      <c r="T382" s="270" t="s">
        <v>101</v>
      </c>
      <c r="U382" s="271" t="s">
        <v>101</v>
      </c>
      <c r="V382" s="280"/>
    </row>
    <row r="383" spans="1:22">
      <c r="A383" s="287">
        <v>1</v>
      </c>
      <c r="B383" s="288" t="s">
        <v>67</v>
      </c>
      <c r="C383" s="289">
        <v>2</v>
      </c>
      <c r="D383" s="359">
        <v>44431</v>
      </c>
      <c r="E383" s="290" t="s">
        <v>46</v>
      </c>
      <c r="F383" s="290">
        <v>29.7</v>
      </c>
      <c r="G383" s="290">
        <v>19.399999999999999</v>
      </c>
      <c r="H383" s="290" t="s">
        <v>46</v>
      </c>
      <c r="I383" s="290" t="s">
        <v>36</v>
      </c>
      <c r="J383" s="290" t="s">
        <v>48</v>
      </c>
      <c r="K383" s="290" t="s">
        <v>46</v>
      </c>
      <c r="L383" s="290">
        <v>3.1</v>
      </c>
      <c r="M383" s="290" t="s">
        <v>46</v>
      </c>
      <c r="N383" s="290" t="s">
        <v>46</v>
      </c>
      <c r="O383" s="290" t="s">
        <v>46</v>
      </c>
      <c r="P383" s="290">
        <v>5.8</v>
      </c>
      <c r="Q383" s="290">
        <f t="shared" si="13"/>
        <v>57.999999999999993</v>
      </c>
      <c r="R383" s="270"/>
      <c r="S383" s="270"/>
      <c r="T383" s="270"/>
      <c r="U383" s="271"/>
      <c r="V383" s="280"/>
    </row>
    <row r="384" spans="1:22">
      <c r="A384" s="287">
        <v>1</v>
      </c>
      <c r="B384" s="288" t="s">
        <v>67</v>
      </c>
      <c r="C384" s="289">
        <v>2</v>
      </c>
      <c r="D384" s="367">
        <v>44341</v>
      </c>
      <c r="E384" s="346" t="s">
        <v>46</v>
      </c>
      <c r="F384" s="290">
        <v>13.4</v>
      </c>
      <c r="G384" s="290">
        <v>40.4</v>
      </c>
      <c r="H384" s="290" t="s">
        <v>46</v>
      </c>
      <c r="I384" s="290" t="s">
        <v>36</v>
      </c>
      <c r="J384" s="290" t="s">
        <v>48</v>
      </c>
      <c r="K384" s="290" t="s">
        <v>46</v>
      </c>
      <c r="L384" s="290">
        <v>13.1</v>
      </c>
      <c r="M384" s="290" t="s">
        <v>46</v>
      </c>
      <c r="N384" s="290" t="s">
        <v>46</v>
      </c>
      <c r="O384" s="290" t="s">
        <v>46</v>
      </c>
      <c r="P384" s="290">
        <v>33.4</v>
      </c>
      <c r="Q384" s="290">
        <f t="shared" si="13"/>
        <v>100.29999999999998</v>
      </c>
      <c r="R384" s="270"/>
      <c r="S384" s="270" t="s">
        <v>50</v>
      </c>
      <c r="T384" s="270"/>
      <c r="U384" s="271"/>
      <c r="V384" s="280"/>
    </row>
    <row r="385" spans="1:22">
      <c r="A385" s="287">
        <v>1</v>
      </c>
      <c r="B385" s="288" t="s">
        <v>67</v>
      </c>
      <c r="C385" s="289">
        <v>2</v>
      </c>
      <c r="D385" s="359">
        <v>44312</v>
      </c>
      <c r="E385" s="346" t="s">
        <v>46</v>
      </c>
      <c r="F385" s="290">
        <v>17.7</v>
      </c>
      <c r="G385" s="290">
        <v>45.1</v>
      </c>
      <c r="H385" s="290" t="s">
        <v>46</v>
      </c>
      <c r="I385" s="290" t="s">
        <v>36</v>
      </c>
      <c r="J385" s="290" t="s">
        <v>48</v>
      </c>
      <c r="K385" s="290" t="s">
        <v>46</v>
      </c>
      <c r="L385" s="290" t="s">
        <v>46</v>
      </c>
      <c r="M385" s="290" t="s">
        <v>46</v>
      </c>
      <c r="N385" s="290" t="s">
        <v>46</v>
      </c>
      <c r="O385" s="290" t="s">
        <v>46</v>
      </c>
      <c r="P385" s="290">
        <v>36.5</v>
      </c>
      <c r="Q385" s="290">
        <f t="shared" si="13"/>
        <v>99.3</v>
      </c>
      <c r="R385" s="270"/>
      <c r="S385" s="270"/>
      <c r="T385" s="270"/>
      <c r="U385" s="271"/>
      <c r="V385" s="280"/>
    </row>
    <row r="386" spans="1:22">
      <c r="A386" s="287">
        <v>1</v>
      </c>
      <c r="B386" s="288" t="s">
        <v>67</v>
      </c>
      <c r="C386" s="289">
        <v>2</v>
      </c>
      <c r="D386" s="359">
        <v>44249</v>
      </c>
      <c r="E386" s="346" t="s">
        <v>46</v>
      </c>
      <c r="F386" s="290">
        <v>42</v>
      </c>
      <c r="G386" s="290">
        <v>57.9</v>
      </c>
      <c r="H386" s="290" t="s">
        <v>46</v>
      </c>
      <c r="I386" s="290" t="s">
        <v>36</v>
      </c>
      <c r="J386" s="290" t="s">
        <v>48</v>
      </c>
      <c r="K386" s="290" t="s">
        <v>46</v>
      </c>
      <c r="L386" s="290" t="s">
        <v>46</v>
      </c>
      <c r="M386" s="290" t="s">
        <v>46</v>
      </c>
      <c r="N386" s="290" t="s">
        <v>46</v>
      </c>
      <c r="O386" s="290" t="s">
        <v>46</v>
      </c>
      <c r="P386" s="290">
        <v>34.9</v>
      </c>
      <c r="Q386" s="290">
        <f t="shared" si="13"/>
        <v>134.80000000000001</v>
      </c>
      <c r="R386" s="270"/>
      <c r="S386" s="270"/>
      <c r="T386" s="270"/>
      <c r="U386" s="271"/>
      <c r="V386" s="280"/>
    </row>
    <row r="387" spans="1:22">
      <c r="A387" s="287">
        <v>1</v>
      </c>
      <c r="B387" s="288" t="s">
        <v>67</v>
      </c>
      <c r="C387" s="289">
        <v>2</v>
      </c>
      <c r="D387" s="359">
        <v>44217</v>
      </c>
      <c r="E387" s="346" t="s">
        <v>46</v>
      </c>
      <c r="F387" s="290">
        <v>68</v>
      </c>
      <c r="G387" s="290">
        <v>77.599999999999994</v>
      </c>
      <c r="H387" s="290" t="s">
        <v>46</v>
      </c>
      <c r="I387" s="290" t="s">
        <v>36</v>
      </c>
      <c r="J387" s="290" t="s">
        <v>48</v>
      </c>
      <c r="K387" s="290" t="s">
        <v>46</v>
      </c>
      <c r="L387" s="290" t="s">
        <v>46</v>
      </c>
      <c r="M387" s="290" t="s">
        <v>46</v>
      </c>
      <c r="N387" s="290" t="s">
        <v>46</v>
      </c>
      <c r="O387" s="290" t="s">
        <v>46</v>
      </c>
      <c r="P387" s="290">
        <v>16.100000000000001</v>
      </c>
      <c r="Q387" s="290">
        <f t="shared" si="13"/>
        <v>161.69999999999999</v>
      </c>
      <c r="R387" s="270"/>
      <c r="S387" s="270"/>
      <c r="T387" s="270"/>
      <c r="U387" s="271"/>
      <c r="V387" s="280"/>
    </row>
    <row r="388" spans="1:22">
      <c r="A388" s="287">
        <v>1</v>
      </c>
      <c r="B388" s="288" t="s">
        <v>67</v>
      </c>
      <c r="C388" s="289">
        <v>2</v>
      </c>
      <c r="D388" s="359">
        <v>44186</v>
      </c>
      <c r="E388" s="346"/>
      <c r="F388" s="290">
        <v>76.099999999999994</v>
      </c>
      <c r="G388" s="290">
        <v>73.7</v>
      </c>
      <c r="H388" s="290"/>
      <c r="I388" s="290" t="s">
        <v>36</v>
      </c>
      <c r="J388" s="290" t="s">
        <v>48</v>
      </c>
      <c r="K388" s="290"/>
      <c r="L388" s="290">
        <v>4.3</v>
      </c>
      <c r="M388" s="290"/>
      <c r="N388" s="290"/>
      <c r="O388" s="290"/>
      <c r="P388" s="290">
        <v>15.4</v>
      </c>
      <c r="Q388" s="290">
        <f t="shared" si="13"/>
        <v>169.50000000000003</v>
      </c>
      <c r="R388" s="270"/>
      <c r="S388" s="270"/>
      <c r="T388" s="270"/>
      <c r="U388" s="271"/>
      <c r="V388" s="280"/>
    </row>
    <row r="389" spans="1:22">
      <c r="A389" s="287">
        <v>1</v>
      </c>
      <c r="B389" s="288" t="s">
        <v>67</v>
      </c>
      <c r="C389" s="289">
        <v>2</v>
      </c>
      <c r="D389" s="359">
        <v>44174</v>
      </c>
      <c r="E389" s="346" t="s">
        <v>46</v>
      </c>
      <c r="F389" s="290">
        <v>88.1</v>
      </c>
      <c r="G389" s="290">
        <v>65.400000000000006</v>
      </c>
      <c r="H389" s="290" t="s">
        <v>46</v>
      </c>
      <c r="I389" s="290" t="s">
        <v>36</v>
      </c>
      <c r="J389" s="290" t="s">
        <v>48</v>
      </c>
      <c r="K389" s="290" t="s">
        <v>46</v>
      </c>
      <c r="L389" s="290">
        <v>6.4</v>
      </c>
      <c r="M389" s="290" t="s">
        <v>46</v>
      </c>
      <c r="N389" s="290" t="s">
        <v>46</v>
      </c>
      <c r="O389" s="290" t="s">
        <v>46</v>
      </c>
      <c r="P389" s="290">
        <v>11.2</v>
      </c>
      <c r="Q389" s="290">
        <f t="shared" si="13"/>
        <v>171.1</v>
      </c>
      <c r="R389" s="270"/>
      <c r="S389" s="270"/>
      <c r="T389" s="270"/>
      <c r="U389" s="271"/>
      <c r="V389" s="280"/>
    </row>
    <row r="390" spans="1:22" ht="15" thickBot="1">
      <c r="A390" s="308">
        <v>1</v>
      </c>
      <c r="B390" s="309" t="s">
        <v>67</v>
      </c>
      <c r="C390" s="310">
        <v>2</v>
      </c>
      <c r="D390" s="362">
        <v>44160</v>
      </c>
      <c r="E390" s="312" t="s">
        <v>46</v>
      </c>
      <c r="F390" s="311">
        <v>39.299999999999997</v>
      </c>
      <c r="G390" s="312">
        <v>21.8</v>
      </c>
      <c r="H390" s="312" t="s">
        <v>46</v>
      </c>
      <c r="I390" s="312" t="s">
        <v>36</v>
      </c>
      <c r="J390" s="312" t="s">
        <v>48</v>
      </c>
      <c r="K390" s="312" t="s">
        <v>46</v>
      </c>
      <c r="L390" s="312">
        <v>9.3000000000000007</v>
      </c>
      <c r="M390" s="312" t="s">
        <v>46</v>
      </c>
      <c r="N390" s="312" t="s">
        <v>46</v>
      </c>
      <c r="O390" s="312" t="s">
        <v>46</v>
      </c>
      <c r="P390" s="312">
        <v>3.8</v>
      </c>
      <c r="Q390" s="312">
        <f t="shared" si="13"/>
        <v>74.199999999999989</v>
      </c>
      <c r="R390" s="295"/>
      <c r="S390" s="295"/>
      <c r="T390" s="295"/>
      <c r="U390" s="296"/>
      <c r="V390" s="280"/>
    </row>
    <row r="391" spans="1:22" ht="15" thickBot="1">
      <c r="A391" s="321"/>
      <c r="C391" s="322"/>
      <c r="E391" s="280"/>
      <c r="F391" s="265"/>
      <c r="G391" s="280"/>
      <c r="H391" s="280"/>
      <c r="I391" s="280"/>
      <c r="J391" s="280"/>
      <c r="K391" s="280"/>
      <c r="L391" s="280"/>
      <c r="M391" s="280"/>
      <c r="N391" s="280"/>
      <c r="O391" s="280"/>
      <c r="P391" s="280"/>
      <c r="Q391" s="280"/>
      <c r="R391" s="280"/>
      <c r="S391" s="280"/>
      <c r="T391" s="280"/>
      <c r="U391" s="280"/>
      <c r="V391" s="280"/>
    </row>
    <row r="392" spans="1:22">
      <c r="A392" s="258">
        <v>2</v>
      </c>
      <c r="B392" s="259" t="s">
        <v>67</v>
      </c>
      <c r="C392" s="260">
        <v>3</v>
      </c>
      <c r="D392" s="355">
        <v>45792</v>
      </c>
      <c r="E392" s="262" t="s">
        <v>46</v>
      </c>
      <c r="F392" s="261" t="s">
        <v>46</v>
      </c>
      <c r="G392" s="262" t="s">
        <v>46</v>
      </c>
      <c r="H392" s="262" t="s">
        <v>46</v>
      </c>
      <c r="I392" s="262" t="s">
        <v>46</v>
      </c>
      <c r="J392" s="262" t="s">
        <v>36</v>
      </c>
      <c r="K392" s="262">
        <v>0.4</v>
      </c>
      <c r="L392" s="262" t="s">
        <v>46</v>
      </c>
      <c r="M392" s="262" t="s">
        <v>46</v>
      </c>
      <c r="N392" s="262" t="s">
        <v>46</v>
      </c>
      <c r="O392" s="262" t="s">
        <v>46</v>
      </c>
      <c r="P392" s="262" t="s">
        <v>33</v>
      </c>
      <c r="Q392" s="262">
        <f t="shared" ref="Q392:Q403" si="14">SUM(E392:P392)</f>
        <v>0.4</v>
      </c>
      <c r="R392" s="285" t="s">
        <v>36</v>
      </c>
      <c r="S392" s="285" t="s">
        <v>50</v>
      </c>
      <c r="T392" s="285" t="s">
        <v>101</v>
      </c>
      <c r="U392" s="286"/>
      <c r="V392" s="280" t="s">
        <v>46</v>
      </c>
    </row>
    <row r="393" spans="1:22">
      <c r="A393" s="266">
        <v>2</v>
      </c>
      <c r="B393" s="267" t="s">
        <v>67</v>
      </c>
      <c r="C393" s="268">
        <v>3</v>
      </c>
      <c r="D393" s="356">
        <v>45328</v>
      </c>
      <c r="E393" s="269" t="s">
        <v>46</v>
      </c>
      <c r="F393" s="272" t="s">
        <v>46</v>
      </c>
      <c r="G393" s="269">
        <v>1</v>
      </c>
      <c r="H393" s="269" t="s">
        <v>46</v>
      </c>
      <c r="I393" s="269" t="s">
        <v>36</v>
      </c>
      <c r="J393" s="269" t="s">
        <v>48</v>
      </c>
      <c r="K393" s="269" t="s">
        <v>46</v>
      </c>
      <c r="L393" s="269" t="s">
        <v>46</v>
      </c>
      <c r="M393" s="269" t="s">
        <v>46</v>
      </c>
      <c r="N393" s="269" t="s">
        <v>46</v>
      </c>
      <c r="O393" s="269" t="s">
        <v>46</v>
      </c>
      <c r="P393" s="269" t="s">
        <v>33</v>
      </c>
      <c r="Q393" s="269">
        <f t="shared" si="14"/>
        <v>1</v>
      </c>
      <c r="R393" s="270"/>
      <c r="S393" s="270"/>
      <c r="T393" s="270" t="s">
        <v>101</v>
      </c>
      <c r="U393" s="271" t="s">
        <v>101</v>
      </c>
      <c r="V393" s="280"/>
    </row>
    <row r="394" spans="1:22">
      <c r="A394" s="266">
        <v>2</v>
      </c>
      <c r="B394" s="267" t="s">
        <v>67</v>
      </c>
      <c r="C394" s="268">
        <v>3</v>
      </c>
      <c r="D394" s="356">
        <v>45062</v>
      </c>
      <c r="E394" s="269" t="s">
        <v>46</v>
      </c>
      <c r="F394" s="272">
        <v>10.199999999999999</v>
      </c>
      <c r="G394" s="269">
        <v>1.4</v>
      </c>
      <c r="H394" s="269">
        <v>1.7</v>
      </c>
      <c r="I394" s="269" t="s">
        <v>36</v>
      </c>
      <c r="J394" s="269" t="s">
        <v>48</v>
      </c>
      <c r="K394" s="269" t="s">
        <v>46</v>
      </c>
      <c r="L394" s="269">
        <v>9.8000000000000007</v>
      </c>
      <c r="M394" s="269" t="s">
        <v>46</v>
      </c>
      <c r="N394" s="269" t="s">
        <v>46</v>
      </c>
      <c r="O394" s="269" t="s">
        <v>46</v>
      </c>
      <c r="P394" s="269">
        <v>0.9</v>
      </c>
      <c r="Q394" s="269">
        <f t="shared" si="14"/>
        <v>24</v>
      </c>
      <c r="R394" s="270"/>
      <c r="S394" s="270"/>
      <c r="T394" s="270"/>
      <c r="U394" s="271"/>
      <c r="V394" s="280"/>
    </row>
    <row r="395" spans="1:22">
      <c r="A395" s="266">
        <v>2</v>
      </c>
      <c r="B395" s="267" t="s">
        <v>67</v>
      </c>
      <c r="C395" s="268">
        <v>3</v>
      </c>
      <c r="D395" s="356">
        <v>44978</v>
      </c>
      <c r="E395" s="269" t="s">
        <v>46</v>
      </c>
      <c r="F395" s="272">
        <v>2.2999999999999998</v>
      </c>
      <c r="G395" s="269">
        <v>2.5</v>
      </c>
      <c r="H395" s="269" t="s">
        <v>46</v>
      </c>
      <c r="I395" s="269" t="s">
        <v>36</v>
      </c>
      <c r="J395" s="269">
        <v>0.6</v>
      </c>
      <c r="K395" s="269" t="s">
        <v>46</v>
      </c>
      <c r="L395" s="269" t="s">
        <v>46</v>
      </c>
      <c r="M395" s="269" t="s">
        <v>46</v>
      </c>
      <c r="N395" s="269" t="s">
        <v>46</v>
      </c>
      <c r="O395" s="269" t="s">
        <v>46</v>
      </c>
      <c r="P395" s="269">
        <v>0.7</v>
      </c>
      <c r="Q395" s="269">
        <f t="shared" si="14"/>
        <v>6.1</v>
      </c>
      <c r="R395" s="270"/>
      <c r="S395" s="270"/>
      <c r="T395" s="270" t="s">
        <v>101</v>
      </c>
      <c r="U395" s="271" t="s">
        <v>101</v>
      </c>
      <c r="V395" s="280"/>
    </row>
    <row r="396" spans="1:22">
      <c r="A396" s="266">
        <v>2</v>
      </c>
      <c r="B396" s="267" t="s">
        <v>67</v>
      </c>
      <c r="C396" s="268">
        <v>3</v>
      </c>
      <c r="D396" s="356">
        <v>44880</v>
      </c>
      <c r="E396" s="269" t="s">
        <v>46</v>
      </c>
      <c r="F396" s="272">
        <v>9.9</v>
      </c>
      <c r="G396" s="269">
        <v>4.9000000000000004</v>
      </c>
      <c r="H396" s="269" t="s">
        <v>46</v>
      </c>
      <c r="I396" s="269" t="s">
        <v>36</v>
      </c>
      <c r="J396" s="269">
        <v>0.9</v>
      </c>
      <c r="K396" s="269" t="s">
        <v>46</v>
      </c>
      <c r="L396" s="269">
        <v>4.8</v>
      </c>
      <c r="M396" s="269" t="s">
        <v>46</v>
      </c>
      <c r="N396" s="269" t="s">
        <v>46</v>
      </c>
      <c r="O396" s="269" t="s">
        <v>46</v>
      </c>
      <c r="P396" s="269">
        <v>13.5</v>
      </c>
      <c r="Q396" s="269">
        <f t="shared" si="14"/>
        <v>34</v>
      </c>
      <c r="R396" s="270"/>
      <c r="S396" s="270"/>
      <c r="T396" s="270" t="s">
        <v>101</v>
      </c>
      <c r="U396" s="271" t="s">
        <v>101</v>
      </c>
      <c r="V396" s="280"/>
    </row>
    <row r="397" spans="1:22">
      <c r="A397" s="266">
        <v>2</v>
      </c>
      <c r="B397" s="267" t="s">
        <v>67</v>
      </c>
      <c r="C397" s="268">
        <v>3</v>
      </c>
      <c r="D397" s="356">
        <v>44747</v>
      </c>
      <c r="E397" s="269" t="s">
        <v>46</v>
      </c>
      <c r="F397" s="272">
        <v>26.3</v>
      </c>
      <c r="G397" s="269">
        <v>6.1</v>
      </c>
      <c r="H397" s="269" t="s">
        <v>46</v>
      </c>
      <c r="I397" s="269" t="s">
        <v>36</v>
      </c>
      <c r="J397" s="269">
        <v>0.8</v>
      </c>
      <c r="K397" s="269" t="s">
        <v>46</v>
      </c>
      <c r="L397" s="269">
        <v>1.3</v>
      </c>
      <c r="M397" s="269" t="s">
        <v>46</v>
      </c>
      <c r="N397" s="269" t="s">
        <v>46</v>
      </c>
      <c r="O397" s="269" t="s">
        <v>46</v>
      </c>
      <c r="P397" s="269">
        <v>64.599999999999994</v>
      </c>
      <c r="Q397" s="269">
        <f t="shared" si="14"/>
        <v>99.1</v>
      </c>
      <c r="R397" s="270"/>
      <c r="S397" s="270"/>
      <c r="T397" s="270" t="s">
        <v>101</v>
      </c>
      <c r="U397" s="271" t="s">
        <v>101</v>
      </c>
      <c r="V397" s="280" t="s">
        <v>46</v>
      </c>
    </row>
    <row r="398" spans="1:22">
      <c r="A398" s="266">
        <v>2</v>
      </c>
      <c r="B398" s="267" t="s">
        <v>67</v>
      </c>
      <c r="C398" s="268">
        <v>3</v>
      </c>
      <c r="D398" s="356">
        <v>44613</v>
      </c>
      <c r="E398" s="269" t="s">
        <v>46</v>
      </c>
      <c r="F398" s="272" t="s">
        <v>46</v>
      </c>
      <c r="G398" s="269">
        <v>7.1</v>
      </c>
      <c r="H398" s="269" t="s">
        <v>46</v>
      </c>
      <c r="I398" s="269" t="s">
        <v>36</v>
      </c>
      <c r="J398" s="269" t="s">
        <v>48</v>
      </c>
      <c r="K398" s="269" t="s">
        <v>46</v>
      </c>
      <c r="L398" s="269" t="s">
        <v>46</v>
      </c>
      <c r="M398" s="269" t="s">
        <v>46</v>
      </c>
      <c r="N398" s="269" t="s">
        <v>46</v>
      </c>
      <c r="O398" s="269" t="s">
        <v>46</v>
      </c>
      <c r="P398" s="269">
        <v>1.8</v>
      </c>
      <c r="Q398" s="269">
        <f t="shared" si="14"/>
        <v>8.9</v>
      </c>
      <c r="R398" s="270"/>
      <c r="S398" s="270"/>
      <c r="T398" s="270" t="s">
        <v>101</v>
      </c>
      <c r="U398" s="271" t="s">
        <v>101</v>
      </c>
      <c r="V398" s="280"/>
    </row>
    <row r="399" spans="1:22">
      <c r="A399" s="266">
        <v>2</v>
      </c>
      <c r="B399" s="267" t="s">
        <v>67</v>
      </c>
      <c r="C399" s="268">
        <v>3</v>
      </c>
      <c r="D399" s="356">
        <v>44515</v>
      </c>
      <c r="E399" s="269" t="s">
        <v>46</v>
      </c>
      <c r="F399" s="272">
        <v>3.9</v>
      </c>
      <c r="G399" s="269">
        <v>16.8</v>
      </c>
      <c r="H399" s="269" t="s">
        <v>46</v>
      </c>
      <c r="I399" s="269" t="s">
        <v>36</v>
      </c>
      <c r="J399" s="269" t="s">
        <v>48</v>
      </c>
      <c r="K399" s="269" t="s">
        <v>46</v>
      </c>
      <c r="L399" s="269" t="s">
        <v>46</v>
      </c>
      <c r="M399" s="269" t="s">
        <v>46</v>
      </c>
      <c r="N399" s="269" t="s">
        <v>46</v>
      </c>
      <c r="O399" s="269" t="s">
        <v>46</v>
      </c>
      <c r="P399" s="269">
        <v>5.7</v>
      </c>
      <c r="Q399" s="269">
        <f t="shared" si="14"/>
        <v>26.4</v>
      </c>
      <c r="R399" s="270"/>
      <c r="S399" s="270"/>
      <c r="T399" s="270" t="s">
        <v>101</v>
      </c>
      <c r="U399" s="271" t="s">
        <v>101</v>
      </c>
      <c r="V399" s="280"/>
    </row>
    <row r="400" spans="1:22">
      <c r="A400" s="266">
        <v>2</v>
      </c>
      <c r="B400" s="267" t="s">
        <v>67</v>
      </c>
      <c r="C400" s="268">
        <v>3</v>
      </c>
      <c r="D400" s="356">
        <v>44431</v>
      </c>
      <c r="E400" s="347" t="s">
        <v>46</v>
      </c>
      <c r="F400" s="272">
        <v>35.299999999999997</v>
      </c>
      <c r="G400" s="269">
        <v>22</v>
      </c>
      <c r="H400" s="269" t="s">
        <v>46</v>
      </c>
      <c r="I400" s="269" t="s">
        <v>36</v>
      </c>
      <c r="J400" s="269">
        <v>0.5</v>
      </c>
      <c r="K400" s="269" t="s">
        <v>46</v>
      </c>
      <c r="L400" s="269">
        <v>2.2999999999999998</v>
      </c>
      <c r="M400" s="269" t="s">
        <v>46</v>
      </c>
      <c r="N400" s="269" t="s">
        <v>46</v>
      </c>
      <c r="O400" s="269" t="s">
        <v>46</v>
      </c>
      <c r="P400" s="269">
        <v>9.8000000000000007</v>
      </c>
      <c r="Q400" s="269">
        <f t="shared" si="14"/>
        <v>69.899999999999991</v>
      </c>
      <c r="R400" s="270"/>
      <c r="S400" s="270"/>
      <c r="T400" s="270"/>
      <c r="U400" s="271"/>
      <c r="V400" s="280"/>
    </row>
    <row r="401" spans="1:22">
      <c r="A401" s="266">
        <v>2</v>
      </c>
      <c r="B401" s="267" t="s">
        <v>67</v>
      </c>
      <c r="C401" s="268">
        <v>3</v>
      </c>
      <c r="D401" s="356">
        <v>44341</v>
      </c>
      <c r="E401" s="347" t="s">
        <v>46</v>
      </c>
      <c r="F401" s="272">
        <v>35.6</v>
      </c>
      <c r="G401" s="269">
        <v>19.7</v>
      </c>
      <c r="H401" s="269" t="s">
        <v>46</v>
      </c>
      <c r="I401" s="269" t="s">
        <v>36</v>
      </c>
      <c r="J401" s="269" t="s">
        <v>48</v>
      </c>
      <c r="K401" s="269" t="s">
        <v>46</v>
      </c>
      <c r="L401" s="269">
        <v>20.399999999999999</v>
      </c>
      <c r="M401" s="269" t="s">
        <v>46</v>
      </c>
      <c r="N401" s="269" t="s">
        <v>46</v>
      </c>
      <c r="O401" s="269">
        <v>1.5</v>
      </c>
      <c r="P401" s="269">
        <v>7.2</v>
      </c>
      <c r="Q401" s="269">
        <f t="shared" si="14"/>
        <v>84.399999999999991</v>
      </c>
      <c r="R401" s="270"/>
      <c r="S401" s="273">
        <v>220</v>
      </c>
      <c r="T401" s="273"/>
      <c r="U401" s="274"/>
      <c r="V401" s="265"/>
    </row>
    <row r="402" spans="1:22">
      <c r="A402" s="266">
        <v>2</v>
      </c>
      <c r="B402" s="267" t="s">
        <v>67</v>
      </c>
      <c r="C402" s="268">
        <v>3</v>
      </c>
      <c r="D402" s="356">
        <v>44312</v>
      </c>
      <c r="E402" s="347" t="s">
        <v>46</v>
      </c>
      <c r="F402" s="272">
        <v>28.9</v>
      </c>
      <c r="G402" s="269">
        <v>20.7</v>
      </c>
      <c r="H402" s="269" t="s">
        <v>46</v>
      </c>
      <c r="I402" s="269" t="s">
        <v>36</v>
      </c>
      <c r="J402" s="269" t="s">
        <v>48</v>
      </c>
      <c r="K402" s="269" t="s">
        <v>46</v>
      </c>
      <c r="L402" s="269">
        <v>1.5</v>
      </c>
      <c r="M402" s="269" t="s">
        <v>46</v>
      </c>
      <c r="N402" s="269" t="s">
        <v>46</v>
      </c>
      <c r="O402" s="269" t="s">
        <v>46</v>
      </c>
      <c r="P402" s="269">
        <v>10.1</v>
      </c>
      <c r="Q402" s="269">
        <f t="shared" si="14"/>
        <v>61.199999999999996</v>
      </c>
      <c r="R402" s="270"/>
      <c r="S402" s="270"/>
      <c r="T402" s="270"/>
      <c r="U402" s="271"/>
      <c r="V402" s="280"/>
    </row>
    <row r="403" spans="1:22" ht="15" thickBot="1">
      <c r="A403" s="308">
        <v>2</v>
      </c>
      <c r="B403" s="309" t="s">
        <v>67</v>
      </c>
      <c r="C403" s="310">
        <v>3</v>
      </c>
      <c r="D403" s="362">
        <v>44159</v>
      </c>
      <c r="E403" s="311">
        <v>1.3</v>
      </c>
      <c r="F403" s="311">
        <v>867</v>
      </c>
      <c r="G403" s="311">
        <v>38.700000000000003</v>
      </c>
      <c r="H403" s="311" t="s">
        <v>46</v>
      </c>
      <c r="I403" s="311" t="s">
        <v>36</v>
      </c>
      <c r="J403" s="311">
        <v>0.6</v>
      </c>
      <c r="K403" s="311" t="s">
        <v>46</v>
      </c>
      <c r="L403" s="311">
        <v>5.0999999999999996</v>
      </c>
      <c r="M403" s="311">
        <v>1.3</v>
      </c>
      <c r="N403" s="311" t="s">
        <v>46</v>
      </c>
      <c r="O403" s="311">
        <v>1.3</v>
      </c>
      <c r="P403" s="311">
        <v>557</v>
      </c>
      <c r="Q403" s="311">
        <f t="shared" si="14"/>
        <v>1472.3</v>
      </c>
      <c r="R403" s="295"/>
      <c r="S403" s="295"/>
      <c r="T403" s="295"/>
      <c r="U403" s="296"/>
      <c r="V403" s="280"/>
    </row>
    <row r="404" spans="1:22" ht="15" thickBot="1">
      <c r="A404" s="321"/>
      <c r="C404" s="322"/>
      <c r="E404" s="265"/>
      <c r="F404" s="265"/>
      <c r="G404" s="265"/>
      <c r="H404" s="265"/>
      <c r="I404" s="265"/>
      <c r="J404" s="265"/>
      <c r="K404" s="265"/>
      <c r="L404" s="265"/>
      <c r="M404" s="265"/>
      <c r="N404" s="265"/>
      <c r="O404" s="265"/>
      <c r="P404" s="265"/>
      <c r="Q404" s="265"/>
      <c r="R404" s="280"/>
      <c r="S404" s="280"/>
      <c r="T404" s="280"/>
      <c r="U404" s="280"/>
      <c r="V404" s="280"/>
    </row>
    <row r="405" spans="1:22">
      <c r="A405" s="281">
        <v>2</v>
      </c>
      <c r="B405" s="282" t="s">
        <v>67</v>
      </c>
      <c r="C405" s="283">
        <v>4</v>
      </c>
      <c r="D405" s="358">
        <v>45783</v>
      </c>
      <c r="E405" s="348" t="s">
        <v>46</v>
      </c>
      <c r="F405" s="284" t="s">
        <v>46</v>
      </c>
      <c r="G405" s="284">
        <v>1</v>
      </c>
      <c r="H405" s="284" t="s">
        <v>46</v>
      </c>
      <c r="I405" s="284" t="s">
        <v>36</v>
      </c>
      <c r="J405" s="284" t="s">
        <v>48</v>
      </c>
      <c r="K405" s="284" t="s">
        <v>46</v>
      </c>
      <c r="L405" s="284" t="s">
        <v>46</v>
      </c>
      <c r="M405" s="284" t="s">
        <v>46</v>
      </c>
      <c r="N405" s="284" t="s">
        <v>46</v>
      </c>
      <c r="O405" s="284" t="s">
        <v>46</v>
      </c>
      <c r="P405" s="284" t="s">
        <v>33</v>
      </c>
      <c r="Q405" s="284">
        <f t="shared" ref="Q405:Q415" si="15">SUM(E405:P405)</f>
        <v>1</v>
      </c>
      <c r="R405" s="285" t="s">
        <v>36</v>
      </c>
      <c r="S405" s="285" t="s">
        <v>50</v>
      </c>
      <c r="T405" s="285" t="s">
        <v>101</v>
      </c>
      <c r="U405" s="286"/>
      <c r="V405" s="280" t="s">
        <v>46</v>
      </c>
    </row>
    <row r="406" spans="1:22">
      <c r="A406" s="287">
        <v>2</v>
      </c>
      <c r="B406" s="288" t="s">
        <v>67</v>
      </c>
      <c r="C406" s="289">
        <v>4</v>
      </c>
      <c r="D406" s="359">
        <v>45567</v>
      </c>
      <c r="E406" s="290" t="s">
        <v>46</v>
      </c>
      <c r="F406" s="290">
        <v>18.600000000000001</v>
      </c>
      <c r="G406" s="290">
        <v>5.3</v>
      </c>
      <c r="H406" s="290" t="s">
        <v>46</v>
      </c>
      <c r="I406" s="290" t="s">
        <v>36</v>
      </c>
      <c r="J406" s="290">
        <v>0.3</v>
      </c>
      <c r="K406" s="290" t="s">
        <v>46</v>
      </c>
      <c r="L406" s="290" t="s">
        <v>46</v>
      </c>
      <c r="M406" s="290" t="s">
        <v>46</v>
      </c>
      <c r="N406" s="290" t="s">
        <v>46</v>
      </c>
      <c r="O406" s="290" t="s">
        <v>46</v>
      </c>
      <c r="P406" s="290">
        <v>11.2</v>
      </c>
      <c r="Q406" s="290">
        <f t="shared" si="15"/>
        <v>35.400000000000006</v>
      </c>
      <c r="R406" s="270"/>
      <c r="S406" s="270"/>
      <c r="T406" s="270">
        <v>50</v>
      </c>
      <c r="U406" s="271" t="s">
        <v>101</v>
      </c>
      <c r="V406" s="280"/>
    </row>
    <row r="407" spans="1:22">
      <c r="A407" s="287">
        <v>2</v>
      </c>
      <c r="B407" s="288" t="s">
        <v>67</v>
      </c>
      <c r="C407" s="289">
        <v>4</v>
      </c>
      <c r="D407" s="359">
        <v>45510</v>
      </c>
      <c r="E407" s="346" t="s">
        <v>46</v>
      </c>
      <c r="F407" s="290">
        <v>4.0999999999999996</v>
      </c>
      <c r="G407" s="290">
        <v>8.8000000000000007</v>
      </c>
      <c r="H407" s="290" t="s">
        <v>46</v>
      </c>
      <c r="I407" s="290" t="s">
        <v>36</v>
      </c>
      <c r="J407" s="290">
        <v>0.5</v>
      </c>
      <c r="K407" s="290" t="s">
        <v>46</v>
      </c>
      <c r="L407" s="290" t="s">
        <v>46</v>
      </c>
      <c r="M407" s="290" t="s">
        <v>46</v>
      </c>
      <c r="N407" s="290" t="s">
        <v>46</v>
      </c>
      <c r="O407" s="290" t="s">
        <v>46</v>
      </c>
      <c r="P407" s="290">
        <v>5.2</v>
      </c>
      <c r="Q407" s="290">
        <f t="shared" si="15"/>
        <v>18.600000000000001</v>
      </c>
      <c r="R407" s="270"/>
      <c r="S407" s="270"/>
      <c r="T407" s="270" t="s">
        <v>101</v>
      </c>
      <c r="U407" s="271" t="s">
        <v>101</v>
      </c>
      <c r="V407" s="280"/>
    </row>
    <row r="408" spans="1:22">
      <c r="A408" s="287">
        <v>2</v>
      </c>
      <c r="B408" s="288" t="s">
        <v>67</v>
      </c>
      <c r="C408" s="289">
        <v>4</v>
      </c>
      <c r="D408" s="359">
        <v>45426</v>
      </c>
      <c r="E408" s="346" t="s">
        <v>46</v>
      </c>
      <c r="F408" s="290">
        <v>1.7</v>
      </c>
      <c r="G408" s="290" t="s">
        <v>46</v>
      </c>
      <c r="H408" s="290" t="s">
        <v>46</v>
      </c>
      <c r="I408" s="290" t="s">
        <v>36</v>
      </c>
      <c r="J408" s="290" t="s">
        <v>48</v>
      </c>
      <c r="K408" s="290" t="s">
        <v>46</v>
      </c>
      <c r="L408" s="290" t="s">
        <v>46</v>
      </c>
      <c r="M408" s="290" t="s">
        <v>46</v>
      </c>
      <c r="N408" s="290" t="s">
        <v>46</v>
      </c>
      <c r="O408" s="290" t="s">
        <v>46</v>
      </c>
      <c r="P408" s="290">
        <v>2.7</v>
      </c>
      <c r="Q408" s="290">
        <f t="shared" si="15"/>
        <v>4.4000000000000004</v>
      </c>
      <c r="R408" s="270"/>
      <c r="S408" s="270"/>
      <c r="T408" s="270" t="s">
        <v>101</v>
      </c>
      <c r="U408" s="271" t="s">
        <v>101</v>
      </c>
      <c r="V408" s="280"/>
    </row>
    <row r="409" spans="1:22">
      <c r="A409" s="287">
        <v>2</v>
      </c>
      <c r="B409" s="288" t="s">
        <v>67</v>
      </c>
      <c r="C409" s="289">
        <v>4</v>
      </c>
      <c r="D409" s="359">
        <v>45244</v>
      </c>
      <c r="E409" s="346" t="s">
        <v>46</v>
      </c>
      <c r="F409" s="290">
        <v>1.5</v>
      </c>
      <c r="G409" s="290" t="s">
        <v>46</v>
      </c>
      <c r="H409" s="290" t="s">
        <v>46</v>
      </c>
      <c r="I409" s="290" t="s">
        <v>36</v>
      </c>
      <c r="J409" s="290" t="s">
        <v>48</v>
      </c>
      <c r="K409" s="290" t="s">
        <v>46</v>
      </c>
      <c r="L409" s="290" t="s">
        <v>46</v>
      </c>
      <c r="M409" s="290" t="s">
        <v>46</v>
      </c>
      <c r="N409" s="290" t="s">
        <v>46</v>
      </c>
      <c r="O409" s="290" t="s">
        <v>46</v>
      </c>
      <c r="P409" s="290" t="s">
        <v>33</v>
      </c>
      <c r="Q409" s="290">
        <f t="shared" si="15"/>
        <v>1.5</v>
      </c>
      <c r="R409" s="270"/>
      <c r="S409" s="270"/>
      <c r="T409" s="270" t="s">
        <v>101</v>
      </c>
      <c r="U409" s="271" t="s">
        <v>101</v>
      </c>
      <c r="V409" s="280"/>
    </row>
    <row r="410" spans="1:22">
      <c r="A410" s="287">
        <v>2</v>
      </c>
      <c r="B410" s="288" t="s">
        <v>67</v>
      </c>
      <c r="C410" s="289">
        <v>4</v>
      </c>
      <c r="D410" s="359">
        <v>45160</v>
      </c>
      <c r="E410" s="346" t="s">
        <v>46</v>
      </c>
      <c r="F410" s="290">
        <v>10.7</v>
      </c>
      <c r="G410" s="290">
        <v>2.1</v>
      </c>
      <c r="H410" s="290" t="s">
        <v>46</v>
      </c>
      <c r="I410" s="290" t="s">
        <v>36</v>
      </c>
      <c r="J410" s="290" t="s">
        <v>48</v>
      </c>
      <c r="K410" s="290" t="s">
        <v>46</v>
      </c>
      <c r="L410" s="290">
        <v>2.5</v>
      </c>
      <c r="M410" s="290" t="s">
        <v>46</v>
      </c>
      <c r="N410" s="290" t="s">
        <v>46</v>
      </c>
      <c r="O410" s="290" t="s">
        <v>46</v>
      </c>
      <c r="P410" s="290">
        <v>1.8</v>
      </c>
      <c r="Q410" s="290">
        <f t="shared" si="15"/>
        <v>17.099999999999998</v>
      </c>
      <c r="R410" s="270"/>
      <c r="S410" s="270"/>
      <c r="T410" s="270" t="s">
        <v>101</v>
      </c>
      <c r="U410" s="271" t="s">
        <v>101</v>
      </c>
      <c r="V410" s="280"/>
    </row>
    <row r="411" spans="1:22">
      <c r="A411" s="287">
        <v>2</v>
      </c>
      <c r="B411" s="288" t="s">
        <v>67</v>
      </c>
      <c r="C411" s="289">
        <v>4</v>
      </c>
      <c r="D411" s="359">
        <v>44249</v>
      </c>
      <c r="E411" s="346" t="s">
        <v>46</v>
      </c>
      <c r="F411" s="290">
        <v>65.599999999999994</v>
      </c>
      <c r="G411" s="290">
        <v>49.3</v>
      </c>
      <c r="H411" s="290" t="s">
        <v>46</v>
      </c>
      <c r="I411" s="290" t="s">
        <v>36</v>
      </c>
      <c r="J411" s="290">
        <v>0.9</v>
      </c>
      <c r="K411" s="290" t="s">
        <v>46</v>
      </c>
      <c r="L411" s="290">
        <v>3</v>
      </c>
      <c r="M411" s="290" t="s">
        <v>46</v>
      </c>
      <c r="N411" s="290" t="s">
        <v>46</v>
      </c>
      <c r="O411" s="290" t="s">
        <v>46</v>
      </c>
      <c r="P411" s="290">
        <v>10.7</v>
      </c>
      <c r="Q411" s="290">
        <f t="shared" si="15"/>
        <v>129.5</v>
      </c>
      <c r="R411" s="270"/>
      <c r="S411" s="270"/>
      <c r="T411" s="270"/>
      <c r="U411" s="271"/>
      <c r="V411" s="280"/>
    </row>
    <row r="412" spans="1:22">
      <c r="A412" s="287">
        <v>2</v>
      </c>
      <c r="B412" s="288" t="s">
        <v>67</v>
      </c>
      <c r="C412" s="289">
        <v>4</v>
      </c>
      <c r="D412" s="359">
        <v>44217</v>
      </c>
      <c r="E412" s="346" t="s">
        <v>46</v>
      </c>
      <c r="F412" s="290">
        <v>63.7</v>
      </c>
      <c r="G412" s="290">
        <v>51.1</v>
      </c>
      <c r="H412" s="290" t="s">
        <v>46</v>
      </c>
      <c r="I412" s="290" t="s">
        <v>36</v>
      </c>
      <c r="J412" s="290">
        <v>0.8</v>
      </c>
      <c r="K412" s="290" t="s">
        <v>46</v>
      </c>
      <c r="L412" s="290">
        <v>2.2999999999999998</v>
      </c>
      <c r="M412" s="290" t="s">
        <v>46</v>
      </c>
      <c r="N412" s="290" t="s">
        <v>46</v>
      </c>
      <c r="O412" s="290">
        <v>117.9</v>
      </c>
      <c r="P412" s="290" t="s">
        <v>33</v>
      </c>
      <c r="Q412" s="290">
        <f t="shared" si="15"/>
        <v>235.8</v>
      </c>
      <c r="R412" s="270"/>
      <c r="S412" s="270"/>
      <c r="T412" s="270"/>
      <c r="U412" s="271"/>
      <c r="V412" s="280"/>
    </row>
    <row r="413" spans="1:22">
      <c r="A413" s="287">
        <v>2</v>
      </c>
      <c r="B413" s="288" t="s">
        <v>67</v>
      </c>
      <c r="C413" s="289">
        <v>4</v>
      </c>
      <c r="D413" s="359">
        <v>44186</v>
      </c>
      <c r="E413" s="346" t="s">
        <v>46</v>
      </c>
      <c r="F413" s="290">
        <v>75.599999999999994</v>
      </c>
      <c r="G413" s="290">
        <v>58.7</v>
      </c>
      <c r="H413" s="290" t="s">
        <v>46</v>
      </c>
      <c r="I413" s="290" t="s">
        <v>36</v>
      </c>
      <c r="J413" s="290">
        <v>1.1000000000000001</v>
      </c>
      <c r="K413" s="290" t="s">
        <v>46</v>
      </c>
      <c r="L413" s="290">
        <v>3.6</v>
      </c>
      <c r="M413" s="290" t="s">
        <v>46</v>
      </c>
      <c r="N413" s="290" t="s">
        <v>46</v>
      </c>
      <c r="O413" s="290" t="s">
        <v>46</v>
      </c>
      <c r="P413" s="290">
        <v>6.4</v>
      </c>
      <c r="Q413" s="290">
        <f t="shared" si="15"/>
        <v>145.4</v>
      </c>
      <c r="R413" s="270"/>
      <c r="S413" s="270"/>
      <c r="T413" s="270"/>
      <c r="U413" s="271"/>
      <c r="V413" s="280"/>
    </row>
    <row r="414" spans="1:22">
      <c r="A414" s="287">
        <v>2</v>
      </c>
      <c r="B414" s="288" t="s">
        <v>67</v>
      </c>
      <c r="C414" s="289">
        <v>4</v>
      </c>
      <c r="D414" s="359">
        <v>44174</v>
      </c>
      <c r="E414" s="346" t="s">
        <v>46</v>
      </c>
      <c r="F414" s="290">
        <v>88.8</v>
      </c>
      <c r="G414" s="290">
        <v>67.099999999999994</v>
      </c>
      <c r="H414" s="290">
        <v>1.8</v>
      </c>
      <c r="I414" s="290" t="s">
        <v>36</v>
      </c>
      <c r="J414" s="290">
        <v>1.4</v>
      </c>
      <c r="K414" s="290" t="s">
        <v>46</v>
      </c>
      <c r="L414" s="290">
        <v>2.9</v>
      </c>
      <c r="M414" s="290" t="s">
        <v>46</v>
      </c>
      <c r="N414" s="290">
        <v>1.6</v>
      </c>
      <c r="O414" s="290" t="s">
        <v>46</v>
      </c>
      <c r="P414" s="290">
        <v>8.1999999999999993</v>
      </c>
      <c r="Q414" s="290">
        <f t="shared" si="15"/>
        <v>171.79999999999998</v>
      </c>
      <c r="R414" s="270"/>
      <c r="S414" s="270"/>
      <c r="T414" s="270"/>
      <c r="U414" s="271"/>
      <c r="V414" s="280"/>
    </row>
    <row r="415" spans="1:22" ht="15" thickBot="1">
      <c r="A415" s="308">
        <v>2</v>
      </c>
      <c r="B415" s="309" t="s">
        <v>67</v>
      </c>
      <c r="C415" s="310">
        <v>4</v>
      </c>
      <c r="D415" s="362">
        <v>44168</v>
      </c>
      <c r="E415" s="312" t="s">
        <v>46</v>
      </c>
      <c r="F415" s="311">
        <v>54.7</v>
      </c>
      <c r="G415" s="312">
        <v>32</v>
      </c>
      <c r="H415" s="312">
        <v>1.2</v>
      </c>
      <c r="I415" s="312" t="s">
        <v>36</v>
      </c>
      <c r="J415" s="312">
        <v>1.4</v>
      </c>
      <c r="K415" s="312" t="s">
        <v>46</v>
      </c>
      <c r="L415" s="312">
        <v>4.7</v>
      </c>
      <c r="M415" s="312" t="s">
        <v>46</v>
      </c>
      <c r="N415" s="312">
        <v>1.8</v>
      </c>
      <c r="O415" s="312" t="s">
        <v>46</v>
      </c>
      <c r="P415" s="312">
        <v>2</v>
      </c>
      <c r="Q415" s="312">
        <f t="shared" si="15"/>
        <v>97.800000000000011</v>
      </c>
      <c r="R415" s="295"/>
      <c r="S415" s="295"/>
      <c r="T415" s="295"/>
      <c r="U415" s="296"/>
      <c r="V415" s="280"/>
    </row>
    <row r="416" spans="1:22" ht="15" thickBot="1">
      <c r="A416" s="321"/>
      <c r="C416" s="322"/>
      <c r="E416" s="280"/>
      <c r="F416" s="265"/>
      <c r="G416" s="280"/>
      <c r="H416" s="280"/>
      <c r="I416" s="280"/>
      <c r="J416" s="280"/>
      <c r="K416" s="280"/>
      <c r="L416" s="280"/>
      <c r="M416" s="280"/>
      <c r="N416" s="280"/>
      <c r="O416" s="280"/>
      <c r="P416" s="280"/>
      <c r="Q416" s="280"/>
      <c r="R416" s="280"/>
      <c r="S416" s="280"/>
      <c r="T416" s="280"/>
      <c r="U416" s="280"/>
      <c r="V416" s="280"/>
    </row>
    <row r="417" spans="1:22">
      <c r="A417" s="326">
        <v>3</v>
      </c>
      <c r="B417" s="327" t="s">
        <v>67</v>
      </c>
      <c r="C417" s="328">
        <v>5</v>
      </c>
      <c r="D417" s="364">
        <v>46085</v>
      </c>
      <c r="E417" s="329" t="s">
        <v>46</v>
      </c>
      <c r="F417" s="329">
        <v>1.7</v>
      </c>
      <c r="G417" s="329">
        <v>1.3</v>
      </c>
      <c r="H417" s="329" t="s">
        <v>46</v>
      </c>
      <c r="I417" s="329" t="s">
        <v>36</v>
      </c>
      <c r="J417" s="329">
        <v>2</v>
      </c>
      <c r="K417" s="329" t="s">
        <v>46</v>
      </c>
      <c r="L417" s="329" t="s">
        <v>46</v>
      </c>
      <c r="M417" s="329" t="s">
        <v>46</v>
      </c>
      <c r="N417" s="329" t="s">
        <v>46</v>
      </c>
      <c r="O417" s="329">
        <v>1.1000000000000001</v>
      </c>
      <c r="P417" s="329">
        <v>0.7</v>
      </c>
      <c r="Q417" s="329">
        <f t="shared" ref="Q417:Q438" si="16">SUM(E417:P417)</f>
        <v>6.8</v>
      </c>
      <c r="R417" s="285"/>
      <c r="S417" s="285"/>
      <c r="T417" s="285" t="s">
        <v>101</v>
      </c>
      <c r="U417" s="286"/>
      <c r="V417" s="280"/>
    </row>
    <row r="418" spans="1:22">
      <c r="A418" s="330">
        <v>3</v>
      </c>
      <c r="B418" s="331" t="s">
        <v>67</v>
      </c>
      <c r="C418" s="332">
        <v>5</v>
      </c>
      <c r="D418" s="365">
        <v>46056</v>
      </c>
      <c r="E418" s="317" t="s">
        <v>46</v>
      </c>
      <c r="F418" s="317" t="s">
        <v>46</v>
      </c>
      <c r="G418" s="317">
        <v>1.4</v>
      </c>
      <c r="H418" s="317" t="s">
        <v>46</v>
      </c>
      <c r="I418" s="317" t="s">
        <v>36</v>
      </c>
      <c r="J418" s="317">
        <v>2</v>
      </c>
      <c r="K418" s="317" t="s">
        <v>46</v>
      </c>
      <c r="L418" s="317" t="s">
        <v>46</v>
      </c>
      <c r="M418" s="317" t="s">
        <v>46</v>
      </c>
      <c r="N418" s="317" t="s">
        <v>46</v>
      </c>
      <c r="O418" s="317" t="s">
        <v>46</v>
      </c>
      <c r="P418" s="317" t="s">
        <v>33</v>
      </c>
      <c r="Q418" s="317">
        <f t="shared" si="16"/>
        <v>3.4</v>
      </c>
      <c r="R418" s="270"/>
      <c r="S418" s="270"/>
      <c r="T418" s="270"/>
      <c r="U418" s="271"/>
      <c r="V418" s="280"/>
    </row>
    <row r="419" spans="1:22">
      <c r="A419" s="330">
        <v>3</v>
      </c>
      <c r="B419" s="331" t="s">
        <v>67</v>
      </c>
      <c r="C419" s="332">
        <v>5</v>
      </c>
      <c r="D419" s="365">
        <v>46028</v>
      </c>
      <c r="E419" s="317" t="s">
        <v>46</v>
      </c>
      <c r="F419" s="317">
        <v>2.2000000000000002</v>
      </c>
      <c r="G419" s="317">
        <v>1.2</v>
      </c>
      <c r="H419" s="317" t="s">
        <v>46</v>
      </c>
      <c r="I419" s="317" t="s">
        <v>36</v>
      </c>
      <c r="J419" s="317">
        <v>1.8</v>
      </c>
      <c r="K419" s="317" t="s">
        <v>46</v>
      </c>
      <c r="L419" s="317">
        <v>1.6</v>
      </c>
      <c r="M419" s="317" t="s">
        <v>46</v>
      </c>
      <c r="N419" s="317" t="s">
        <v>46</v>
      </c>
      <c r="O419" s="317" t="s">
        <v>46</v>
      </c>
      <c r="P419" s="317">
        <v>0.1</v>
      </c>
      <c r="Q419" s="317">
        <f t="shared" si="16"/>
        <v>6.9</v>
      </c>
      <c r="R419" s="270"/>
      <c r="S419" s="270"/>
      <c r="T419" s="270"/>
      <c r="U419" s="271"/>
      <c r="V419" s="280"/>
    </row>
    <row r="420" spans="1:22">
      <c r="A420" s="330">
        <v>3</v>
      </c>
      <c r="B420" s="331" t="s">
        <v>67</v>
      </c>
      <c r="C420" s="332">
        <v>5</v>
      </c>
      <c r="D420" s="365">
        <v>45992</v>
      </c>
      <c r="E420" s="317" t="s">
        <v>46</v>
      </c>
      <c r="F420" s="317">
        <v>10.5</v>
      </c>
      <c r="G420" s="317">
        <v>3</v>
      </c>
      <c r="H420" s="317" t="s">
        <v>46</v>
      </c>
      <c r="I420" s="317" t="s">
        <v>36</v>
      </c>
      <c r="J420" s="317">
        <v>2.9</v>
      </c>
      <c r="K420" s="317" t="s">
        <v>46</v>
      </c>
      <c r="L420" s="317">
        <v>3.7</v>
      </c>
      <c r="M420" s="317" t="s">
        <v>46</v>
      </c>
      <c r="N420" s="317" t="s">
        <v>46</v>
      </c>
      <c r="O420" s="317" t="s">
        <v>46</v>
      </c>
      <c r="P420" s="317">
        <v>8</v>
      </c>
      <c r="Q420" s="317">
        <f t="shared" si="16"/>
        <v>28.099999999999998</v>
      </c>
      <c r="R420" s="270"/>
      <c r="S420" s="270"/>
      <c r="T420" s="270"/>
      <c r="U420" s="271"/>
      <c r="V420" s="280"/>
    </row>
    <row r="421" spans="1:22">
      <c r="A421" s="330">
        <v>3</v>
      </c>
      <c r="B421" s="331" t="s">
        <v>67</v>
      </c>
      <c r="C421" s="332">
        <v>5</v>
      </c>
      <c r="D421" s="365">
        <v>45971</v>
      </c>
      <c r="E421" s="317" t="s">
        <v>46</v>
      </c>
      <c r="F421" s="317">
        <v>1.4</v>
      </c>
      <c r="G421" s="317">
        <v>1.8</v>
      </c>
      <c r="H421" s="317" t="s">
        <v>46</v>
      </c>
      <c r="I421" s="317" t="s">
        <v>36</v>
      </c>
      <c r="J421" s="317">
        <v>2.7</v>
      </c>
      <c r="K421" s="317" t="s">
        <v>46</v>
      </c>
      <c r="L421" s="317">
        <v>1.4</v>
      </c>
      <c r="M421" s="317" t="s">
        <v>46</v>
      </c>
      <c r="N421" s="317" t="s">
        <v>46</v>
      </c>
      <c r="O421" s="317" t="s">
        <v>46</v>
      </c>
      <c r="P421" s="317">
        <v>1.1000000000000001</v>
      </c>
      <c r="Q421" s="317">
        <f t="shared" si="16"/>
        <v>8.4</v>
      </c>
      <c r="R421" s="270" t="s">
        <v>36</v>
      </c>
      <c r="S421" s="270" t="s">
        <v>50</v>
      </c>
      <c r="T421" s="270" t="s">
        <v>101</v>
      </c>
      <c r="U421" s="271"/>
      <c r="V421" s="280"/>
    </row>
    <row r="422" spans="1:22">
      <c r="A422" s="330">
        <v>3</v>
      </c>
      <c r="B422" s="331" t="s">
        <v>67</v>
      </c>
      <c r="C422" s="332">
        <v>5</v>
      </c>
      <c r="D422" s="365">
        <v>45936</v>
      </c>
      <c r="E422" s="317" t="s">
        <v>46</v>
      </c>
      <c r="F422" s="317">
        <v>3.8</v>
      </c>
      <c r="G422" s="317">
        <v>2.4</v>
      </c>
      <c r="H422" s="317" t="s">
        <v>46</v>
      </c>
      <c r="I422" s="317" t="s">
        <v>36</v>
      </c>
      <c r="J422" s="317">
        <v>2.8</v>
      </c>
      <c r="K422" s="317" t="s">
        <v>46</v>
      </c>
      <c r="L422" s="317">
        <v>7.8</v>
      </c>
      <c r="M422" s="317" t="s">
        <v>46</v>
      </c>
      <c r="N422" s="317" t="s">
        <v>46</v>
      </c>
      <c r="O422" s="317">
        <v>1.8</v>
      </c>
      <c r="P422" s="317">
        <v>1.7</v>
      </c>
      <c r="Q422" s="317">
        <f t="shared" si="16"/>
        <v>20.3</v>
      </c>
      <c r="R422" s="270"/>
      <c r="S422" s="270"/>
      <c r="T422" s="270"/>
      <c r="U422" s="271"/>
      <c r="V422" s="280"/>
    </row>
    <row r="423" spans="1:22">
      <c r="A423" s="330">
        <v>3</v>
      </c>
      <c r="B423" s="331" t="s">
        <v>67</v>
      </c>
      <c r="C423" s="332">
        <v>5</v>
      </c>
      <c r="D423" s="365">
        <v>45909</v>
      </c>
      <c r="E423" s="317" t="s">
        <v>46</v>
      </c>
      <c r="F423" s="317">
        <v>15.7</v>
      </c>
      <c r="G423" s="317">
        <v>10.5</v>
      </c>
      <c r="H423" s="317" t="s">
        <v>46</v>
      </c>
      <c r="I423" s="317" t="s">
        <v>36</v>
      </c>
      <c r="J423" s="317">
        <v>3.3</v>
      </c>
      <c r="K423" s="317" t="s">
        <v>46</v>
      </c>
      <c r="L423" s="317" t="s">
        <v>46</v>
      </c>
      <c r="M423" s="317" t="s">
        <v>46</v>
      </c>
      <c r="N423" s="317" t="s">
        <v>46</v>
      </c>
      <c r="O423" s="317" t="s">
        <v>46</v>
      </c>
      <c r="P423" s="317">
        <v>9</v>
      </c>
      <c r="Q423" s="317">
        <f t="shared" si="16"/>
        <v>38.5</v>
      </c>
      <c r="R423" s="270"/>
      <c r="S423" s="270"/>
      <c r="T423" s="270"/>
      <c r="U423" s="271"/>
      <c r="V423" s="280"/>
    </row>
    <row r="424" spans="1:22">
      <c r="A424" s="330">
        <v>3</v>
      </c>
      <c r="B424" s="331" t="s">
        <v>67</v>
      </c>
      <c r="C424" s="332">
        <v>5</v>
      </c>
      <c r="D424" s="365">
        <v>45895</v>
      </c>
      <c r="E424" s="317" t="s">
        <v>46</v>
      </c>
      <c r="F424" s="317">
        <v>11.4</v>
      </c>
      <c r="G424" s="317">
        <v>9.3000000000000007</v>
      </c>
      <c r="H424" s="317" t="s">
        <v>46</v>
      </c>
      <c r="I424" s="317" t="s">
        <v>46</v>
      </c>
      <c r="J424" s="317">
        <v>2.5</v>
      </c>
      <c r="K424" s="317" t="s">
        <v>46</v>
      </c>
      <c r="L424" s="317">
        <v>1.5</v>
      </c>
      <c r="M424" s="317" t="s">
        <v>46</v>
      </c>
      <c r="N424" s="317" t="s">
        <v>46</v>
      </c>
      <c r="O424" s="317" t="s">
        <v>46</v>
      </c>
      <c r="P424" s="317">
        <v>8.1999999999999993</v>
      </c>
      <c r="Q424" s="317">
        <f t="shared" si="16"/>
        <v>32.900000000000006</v>
      </c>
      <c r="R424" s="270"/>
      <c r="S424" s="270"/>
      <c r="T424" s="270">
        <v>190</v>
      </c>
      <c r="U424" s="271"/>
      <c r="V424" s="280"/>
    </row>
    <row r="425" spans="1:22">
      <c r="A425" s="330">
        <v>3</v>
      </c>
      <c r="B425" s="331" t="s">
        <v>67</v>
      </c>
      <c r="C425" s="332">
        <v>5</v>
      </c>
      <c r="D425" s="365">
        <v>45792</v>
      </c>
      <c r="E425" s="317">
        <v>1.2</v>
      </c>
      <c r="F425" s="317">
        <v>1040</v>
      </c>
      <c r="G425" s="317">
        <v>111</v>
      </c>
      <c r="H425" s="317" t="s">
        <v>46</v>
      </c>
      <c r="I425" s="317" t="s">
        <v>36</v>
      </c>
      <c r="J425" s="317">
        <v>3.5</v>
      </c>
      <c r="K425" s="317" t="s">
        <v>46</v>
      </c>
      <c r="L425" s="317">
        <v>1.3</v>
      </c>
      <c r="M425" s="317" t="s">
        <v>46</v>
      </c>
      <c r="N425" s="317" t="s">
        <v>46</v>
      </c>
      <c r="O425" s="317" t="s">
        <v>46</v>
      </c>
      <c r="P425" s="317">
        <v>494</v>
      </c>
      <c r="Q425" s="317">
        <f t="shared" si="16"/>
        <v>1651</v>
      </c>
      <c r="R425" s="270" t="s">
        <v>36</v>
      </c>
      <c r="S425" s="270" t="s">
        <v>50</v>
      </c>
      <c r="T425" s="270">
        <v>2260</v>
      </c>
      <c r="U425" s="271"/>
      <c r="V425" s="280" t="s">
        <v>46</v>
      </c>
    </row>
    <row r="426" spans="1:22">
      <c r="A426" s="330">
        <v>3</v>
      </c>
      <c r="B426" s="331" t="s">
        <v>67</v>
      </c>
      <c r="C426" s="332">
        <v>5</v>
      </c>
      <c r="D426" s="365">
        <v>45616</v>
      </c>
      <c r="E426" s="317" t="s">
        <v>46</v>
      </c>
      <c r="F426" s="317" t="s">
        <v>46</v>
      </c>
      <c r="G426" s="317" t="s">
        <v>46</v>
      </c>
      <c r="H426" s="317" t="s">
        <v>46</v>
      </c>
      <c r="I426" s="317" t="s">
        <v>46</v>
      </c>
      <c r="J426" s="317" t="s">
        <v>36</v>
      </c>
      <c r="K426" s="317" t="s">
        <v>48</v>
      </c>
      <c r="L426" s="317" t="s">
        <v>46</v>
      </c>
      <c r="M426" s="317" t="s">
        <v>46</v>
      </c>
      <c r="N426" s="317" t="s">
        <v>46</v>
      </c>
      <c r="O426" s="317" t="s">
        <v>46</v>
      </c>
      <c r="P426" s="317" t="s">
        <v>33</v>
      </c>
      <c r="Q426" s="317">
        <f t="shared" si="16"/>
        <v>0</v>
      </c>
      <c r="R426" s="270"/>
      <c r="S426" s="270"/>
      <c r="T426" s="270">
        <v>440</v>
      </c>
      <c r="U426" s="271" t="s">
        <v>101</v>
      </c>
      <c r="V426" s="280"/>
    </row>
    <row r="427" spans="1:22">
      <c r="A427" s="330">
        <v>3</v>
      </c>
      <c r="B427" s="331" t="s">
        <v>67</v>
      </c>
      <c r="C427" s="332">
        <v>5</v>
      </c>
      <c r="D427" s="365">
        <v>45328</v>
      </c>
      <c r="E427" s="317">
        <v>50.9</v>
      </c>
      <c r="F427" s="317">
        <v>28700</v>
      </c>
      <c r="G427" s="317">
        <v>2870</v>
      </c>
      <c r="H427" s="317">
        <v>1670</v>
      </c>
      <c r="I427" s="317" t="s">
        <v>46</v>
      </c>
      <c r="J427" s="317" t="s">
        <v>36</v>
      </c>
      <c r="K427" s="317">
        <v>4.5</v>
      </c>
      <c r="L427" s="317">
        <v>91.4</v>
      </c>
      <c r="M427" s="317" t="s">
        <v>46</v>
      </c>
      <c r="N427" s="317" t="s">
        <v>46</v>
      </c>
      <c r="O427" s="317" t="s">
        <v>46</v>
      </c>
      <c r="P427" s="317">
        <v>1980</v>
      </c>
      <c r="Q427" s="317">
        <f t="shared" si="16"/>
        <v>35366.800000000003</v>
      </c>
      <c r="R427" s="270"/>
      <c r="S427" s="270"/>
      <c r="T427" s="270">
        <v>1090</v>
      </c>
      <c r="U427" s="271" t="s">
        <v>101</v>
      </c>
      <c r="V427" s="280"/>
    </row>
    <row r="428" spans="1:22">
      <c r="A428" s="330">
        <v>3</v>
      </c>
      <c r="B428" s="331" t="s">
        <v>67</v>
      </c>
      <c r="C428" s="332">
        <v>5</v>
      </c>
      <c r="D428" s="365">
        <v>45244</v>
      </c>
      <c r="E428" s="317">
        <v>72</v>
      </c>
      <c r="F428" s="317">
        <v>35200</v>
      </c>
      <c r="G428" s="317">
        <v>2580</v>
      </c>
      <c r="H428" s="317" t="s">
        <v>46</v>
      </c>
      <c r="I428" s="317">
        <v>0.5</v>
      </c>
      <c r="J428" s="317">
        <v>5.7</v>
      </c>
      <c r="K428" s="317" t="s">
        <v>46</v>
      </c>
      <c r="L428" s="317">
        <v>60.4</v>
      </c>
      <c r="M428" s="317" t="s">
        <v>46</v>
      </c>
      <c r="N428" s="317" t="s">
        <v>46</v>
      </c>
      <c r="O428" s="317" t="s">
        <v>46</v>
      </c>
      <c r="P428" s="317">
        <v>2410</v>
      </c>
      <c r="Q428" s="317">
        <f t="shared" si="16"/>
        <v>40328.6</v>
      </c>
      <c r="R428" s="270"/>
      <c r="S428" s="270"/>
      <c r="T428" s="270">
        <v>770</v>
      </c>
      <c r="U428" s="271" t="s">
        <v>101</v>
      </c>
      <c r="V428" s="280"/>
    </row>
    <row r="429" spans="1:22">
      <c r="A429" s="330">
        <v>3</v>
      </c>
      <c r="B429" s="331" t="s">
        <v>67</v>
      </c>
      <c r="C429" s="332">
        <v>5</v>
      </c>
      <c r="D429" s="365">
        <v>45160</v>
      </c>
      <c r="E429" s="317">
        <v>74</v>
      </c>
      <c r="F429" s="317">
        <v>55000</v>
      </c>
      <c r="G429" s="317">
        <v>2820</v>
      </c>
      <c r="H429" s="317" t="s">
        <v>46</v>
      </c>
      <c r="I429" s="317">
        <v>0.5</v>
      </c>
      <c r="J429" s="317">
        <v>7.8</v>
      </c>
      <c r="K429" s="317" t="s">
        <v>46</v>
      </c>
      <c r="L429" s="317">
        <v>73.2</v>
      </c>
      <c r="M429" s="317" t="s">
        <v>46</v>
      </c>
      <c r="N429" s="317" t="s">
        <v>46</v>
      </c>
      <c r="O429" s="317" t="s">
        <v>46</v>
      </c>
      <c r="P429" s="317">
        <v>3760</v>
      </c>
      <c r="Q429" s="317">
        <f t="shared" si="16"/>
        <v>61735.5</v>
      </c>
      <c r="R429" s="270"/>
      <c r="S429" s="270"/>
      <c r="T429" s="94">
        <v>220</v>
      </c>
      <c r="U429" s="349" t="s">
        <v>101</v>
      </c>
      <c r="V429" s="280"/>
    </row>
    <row r="430" spans="1:22">
      <c r="A430" s="330">
        <v>3</v>
      </c>
      <c r="B430" s="331" t="s">
        <v>67</v>
      </c>
      <c r="C430" s="332">
        <v>5</v>
      </c>
      <c r="D430" s="365">
        <v>45062</v>
      </c>
      <c r="E430" s="317">
        <v>38.799999999999997</v>
      </c>
      <c r="F430" s="317">
        <v>32100</v>
      </c>
      <c r="G430" s="317">
        <v>1400</v>
      </c>
      <c r="H430" s="317" t="s">
        <v>46</v>
      </c>
      <c r="I430" s="317" t="s">
        <v>36</v>
      </c>
      <c r="J430" s="317">
        <v>5.3</v>
      </c>
      <c r="K430" s="317" t="s">
        <v>46</v>
      </c>
      <c r="L430" s="317">
        <v>26.4</v>
      </c>
      <c r="M430" s="317" t="s">
        <v>46</v>
      </c>
      <c r="N430" s="317" t="s">
        <v>46</v>
      </c>
      <c r="O430" s="317" t="s">
        <v>46</v>
      </c>
      <c r="P430" s="317">
        <v>1940</v>
      </c>
      <c r="Q430" s="317">
        <f t="shared" si="16"/>
        <v>35510.500000000007</v>
      </c>
      <c r="R430" s="270"/>
      <c r="S430" s="270"/>
      <c r="T430" s="270"/>
      <c r="U430" s="350"/>
      <c r="V430" s="280"/>
    </row>
    <row r="431" spans="1:22">
      <c r="A431" s="330">
        <v>3</v>
      </c>
      <c r="B431" s="331" t="s">
        <v>67</v>
      </c>
      <c r="C431" s="332">
        <v>5</v>
      </c>
      <c r="D431" s="365">
        <v>44978</v>
      </c>
      <c r="E431" s="317">
        <v>50.3</v>
      </c>
      <c r="F431" s="317">
        <v>27400</v>
      </c>
      <c r="G431" s="317">
        <v>1600</v>
      </c>
      <c r="H431" s="317" t="s">
        <v>46</v>
      </c>
      <c r="I431" s="317" t="s">
        <v>36</v>
      </c>
      <c r="J431" s="317">
        <v>4.5</v>
      </c>
      <c r="K431" s="317" t="s">
        <v>46</v>
      </c>
      <c r="L431" s="317">
        <v>2.2999999999999998</v>
      </c>
      <c r="M431" s="317" t="s">
        <v>46</v>
      </c>
      <c r="N431" s="317" t="s">
        <v>46</v>
      </c>
      <c r="O431" s="317" t="s">
        <v>46</v>
      </c>
      <c r="P431" s="317">
        <v>3390</v>
      </c>
      <c r="Q431" s="317">
        <f t="shared" si="16"/>
        <v>32447.1</v>
      </c>
      <c r="R431" s="270"/>
      <c r="S431" s="270"/>
      <c r="T431" s="270">
        <v>70</v>
      </c>
      <c r="U431" s="271" t="s">
        <v>101</v>
      </c>
      <c r="V431" s="280"/>
    </row>
    <row r="432" spans="1:22">
      <c r="A432" s="330">
        <v>3</v>
      </c>
      <c r="B432" s="331" t="s">
        <v>67</v>
      </c>
      <c r="C432" s="332">
        <v>5</v>
      </c>
      <c r="D432" s="365">
        <v>44880</v>
      </c>
      <c r="E432" s="317">
        <v>39.799999999999997</v>
      </c>
      <c r="F432" s="317">
        <v>24200</v>
      </c>
      <c r="G432" s="317">
        <v>1330</v>
      </c>
      <c r="H432" s="317" t="s">
        <v>46</v>
      </c>
      <c r="I432" s="317" t="s">
        <v>36</v>
      </c>
      <c r="J432" s="317">
        <v>4</v>
      </c>
      <c r="K432" s="317" t="s">
        <v>46</v>
      </c>
      <c r="L432" s="317">
        <v>5.5</v>
      </c>
      <c r="M432" s="317" t="s">
        <v>46</v>
      </c>
      <c r="N432" s="317" t="s">
        <v>46</v>
      </c>
      <c r="O432" s="317" t="s">
        <v>46</v>
      </c>
      <c r="P432" s="317">
        <v>2460</v>
      </c>
      <c r="Q432" s="317">
        <f t="shared" si="16"/>
        <v>28039.3</v>
      </c>
      <c r="R432" s="270"/>
      <c r="S432" s="270"/>
      <c r="T432" s="270">
        <v>140</v>
      </c>
      <c r="U432" s="271" t="s">
        <v>101</v>
      </c>
      <c r="V432" s="280"/>
    </row>
    <row r="433" spans="1:22">
      <c r="A433" s="330">
        <v>3</v>
      </c>
      <c r="B433" s="331" t="s">
        <v>67</v>
      </c>
      <c r="C433" s="332">
        <v>5</v>
      </c>
      <c r="D433" s="365">
        <v>44747</v>
      </c>
      <c r="E433" s="317">
        <v>27.8</v>
      </c>
      <c r="F433" s="317">
        <v>11400</v>
      </c>
      <c r="G433" s="317">
        <v>465</v>
      </c>
      <c r="H433" s="317" t="s">
        <v>46</v>
      </c>
      <c r="I433" s="317" t="s">
        <v>36</v>
      </c>
      <c r="J433" s="317">
        <v>3.1</v>
      </c>
      <c r="K433" s="317" t="s">
        <v>46</v>
      </c>
      <c r="L433" s="317">
        <v>4.8</v>
      </c>
      <c r="M433" s="317" t="s">
        <v>46</v>
      </c>
      <c r="N433" s="317" t="s">
        <v>46</v>
      </c>
      <c r="O433" s="317" t="s">
        <v>46</v>
      </c>
      <c r="P433" s="317">
        <v>1450</v>
      </c>
      <c r="Q433" s="317">
        <f t="shared" si="16"/>
        <v>13350.699999999999</v>
      </c>
      <c r="R433" s="270"/>
      <c r="S433" s="270"/>
      <c r="T433" s="270">
        <v>50</v>
      </c>
      <c r="U433" s="271" t="s">
        <v>101</v>
      </c>
      <c r="V433" s="280" t="s">
        <v>46</v>
      </c>
    </row>
    <row r="434" spans="1:22">
      <c r="A434" s="330">
        <v>3</v>
      </c>
      <c r="B434" s="331" t="s">
        <v>67</v>
      </c>
      <c r="C434" s="332">
        <v>5</v>
      </c>
      <c r="D434" s="365">
        <v>44704</v>
      </c>
      <c r="E434" s="317">
        <v>13.3</v>
      </c>
      <c r="F434" s="317">
        <v>5500</v>
      </c>
      <c r="G434" s="317">
        <v>199</v>
      </c>
      <c r="H434" s="317" t="s">
        <v>46</v>
      </c>
      <c r="I434" s="317" t="s">
        <v>36</v>
      </c>
      <c r="J434" s="317">
        <v>2.6</v>
      </c>
      <c r="K434" s="317" t="s">
        <v>46</v>
      </c>
      <c r="L434" s="317">
        <v>15.9</v>
      </c>
      <c r="M434" s="317" t="s">
        <v>46</v>
      </c>
      <c r="N434" s="317" t="s">
        <v>46</v>
      </c>
      <c r="O434" s="317">
        <v>1.1000000000000001</v>
      </c>
      <c r="P434" s="317">
        <v>642</v>
      </c>
      <c r="Q434" s="317">
        <f t="shared" si="16"/>
        <v>6373.9000000000005</v>
      </c>
      <c r="R434" s="270" t="s">
        <v>36</v>
      </c>
      <c r="S434" s="270" t="s">
        <v>50</v>
      </c>
      <c r="T434" s="270">
        <v>50</v>
      </c>
      <c r="U434" s="271" t="s">
        <v>101</v>
      </c>
      <c r="V434" s="280"/>
    </row>
    <row r="435" spans="1:22">
      <c r="A435" s="330">
        <v>3</v>
      </c>
      <c r="B435" s="331" t="s">
        <v>67</v>
      </c>
      <c r="C435" s="332">
        <v>5</v>
      </c>
      <c r="D435" s="365">
        <v>44371</v>
      </c>
      <c r="E435" s="317">
        <v>3.8</v>
      </c>
      <c r="F435" s="317">
        <v>1800</v>
      </c>
      <c r="G435" s="317">
        <v>63.2</v>
      </c>
      <c r="H435" s="317" t="s">
        <v>46</v>
      </c>
      <c r="I435" s="317" t="s">
        <v>36</v>
      </c>
      <c r="J435" s="317">
        <v>2.1</v>
      </c>
      <c r="K435" s="317" t="s">
        <v>46</v>
      </c>
      <c r="L435" s="317">
        <v>6.2</v>
      </c>
      <c r="M435" s="317" t="s">
        <v>46</v>
      </c>
      <c r="N435" s="317" t="s">
        <v>46</v>
      </c>
      <c r="O435" s="317" t="s">
        <v>46</v>
      </c>
      <c r="P435" s="317">
        <v>226</v>
      </c>
      <c r="Q435" s="317">
        <f t="shared" si="16"/>
        <v>2101.3000000000002</v>
      </c>
      <c r="R435" s="270"/>
      <c r="S435" s="270"/>
      <c r="T435" s="270"/>
      <c r="U435" s="271"/>
      <c r="V435" s="280"/>
    </row>
    <row r="436" spans="1:22">
      <c r="A436" s="330">
        <v>3</v>
      </c>
      <c r="B436" s="331" t="s">
        <v>67</v>
      </c>
      <c r="C436" s="332">
        <v>5</v>
      </c>
      <c r="D436" s="365">
        <v>44370</v>
      </c>
      <c r="E436" s="317">
        <v>3</v>
      </c>
      <c r="F436" s="317">
        <v>1420</v>
      </c>
      <c r="G436" s="317">
        <v>54.9</v>
      </c>
      <c r="H436" s="317" t="s">
        <v>46</v>
      </c>
      <c r="I436" s="317" t="s">
        <v>36</v>
      </c>
      <c r="J436" s="317">
        <v>2</v>
      </c>
      <c r="K436" s="317" t="s">
        <v>46</v>
      </c>
      <c r="L436" s="317">
        <v>6.8</v>
      </c>
      <c r="M436" s="317" t="s">
        <v>46</v>
      </c>
      <c r="N436" s="317" t="s">
        <v>46</v>
      </c>
      <c r="O436" s="317" t="s">
        <v>46</v>
      </c>
      <c r="P436" s="317">
        <v>210</v>
      </c>
      <c r="Q436" s="317">
        <f t="shared" si="16"/>
        <v>1696.7</v>
      </c>
      <c r="R436" s="270"/>
      <c r="S436" s="270"/>
      <c r="T436" s="270"/>
      <c r="U436" s="271"/>
      <c r="V436" s="280"/>
    </row>
    <row r="437" spans="1:22">
      <c r="A437" s="330">
        <v>3</v>
      </c>
      <c r="B437" s="331" t="s">
        <v>67</v>
      </c>
      <c r="C437" s="332">
        <v>5</v>
      </c>
      <c r="D437" s="365">
        <v>44368</v>
      </c>
      <c r="E437" s="317" t="s">
        <v>46</v>
      </c>
      <c r="F437" s="317">
        <v>70.400000000000006</v>
      </c>
      <c r="G437" s="317">
        <v>15.6</v>
      </c>
      <c r="H437" s="317" t="s">
        <v>46</v>
      </c>
      <c r="I437" s="317" t="s">
        <v>36</v>
      </c>
      <c r="J437" s="317">
        <v>1.5</v>
      </c>
      <c r="K437" s="317" t="s">
        <v>46</v>
      </c>
      <c r="L437" s="317">
        <v>60.1</v>
      </c>
      <c r="M437" s="317" t="s">
        <v>46</v>
      </c>
      <c r="N437" s="317" t="s">
        <v>46</v>
      </c>
      <c r="O437" s="317" t="s">
        <v>46</v>
      </c>
      <c r="P437" s="317">
        <v>95.3</v>
      </c>
      <c r="Q437" s="317">
        <f t="shared" si="16"/>
        <v>242.89999999999998</v>
      </c>
      <c r="R437" s="270"/>
      <c r="S437" s="270"/>
      <c r="T437" s="270"/>
      <c r="U437" s="271"/>
      <c r="V437" s="280"/>
    </row>
    <row r="438" spans="1:22" ht="15" thickBot="1">
      <c r="A438" s="308">
        <v>3</v>
      </c>
      <c r="B438" s="309" t="s">
        <v>67</v>
      </c>
      <c r="C438" s="310">
        <v>5</v>
      </c>
      <c r="D438" s="362">
        <v>44285</v>
      </c>
      <c r="E438" s="311">
        <v>29.7</v>
      </c>
      <c r="F438" s="311">
        <v>5270</v>
      </c>
      <c r="G438" s="311">
        <v>618</v>
      </c>
      <c r="H438" s="311" t="s">
        <v>46</v>
      </c>
      <c r="I438" s="311" t="s">
        <v>36</v>
      </c>
      <c r="J438" s="311">
        <v>6</v>
      </c>
      <c r="K438" s="311" t="s">
        <v>46</v>
      </c>
      <c r="L438" s="311">
        <v>22300</v>
      </c>
      <c r="M438" s="311">
        <v>88.4</v>
      </c>
      <c r="N438" s="311">
        <v>37.200000000000003</v>
      </c>
      <c r="O438" s="311">
        <v>1690</v>
      </c>
      <c r="P438" s="311">
        <v>117</v>
      </c>
      <c r="Q438" s="311">
        <f t="shared" si="16"/>
        <v>30156.300000000003</v>
      </c>
      <c r="R438" s="312" t="s">
        <v>36</v>
      </c>
      <c r="S438" s="312" t="s">
        <v>50</v>
      </c>
      <c r="T438" s="312"/>
      <c r="U438" s="351"/>
      <c r="V438" s="345"/>
    </row>
    <row r="439" spans="1:22" ht="15" thickBot="1">
      <c r="A439" s="321"/>
      <c r="C439" s="322"/>
      <c r="E439" s="265"/>
      <c r="F439" s="265"/>
      <c r="G439" s="265"/>
      <c r="H439" s="280"/>
      <c r="I439" s="265"/>
      <c r="J439" s="265"/>
      <c r="K439" s="280"/>
      <c r="L439" s="265"/>
      <c r="M439" s="265"/>
      <c r="N439" s="265"/>
      <c r="O439" s="265"/>
      <c r="P439" s="265"/>
      <c r="Q439" s="265"/>
      <c r="R439" s="280"/>
      <c r="S439" s="280"/>
      <c r="T439" s="280"/>
      <c r="U439" s="280"/>
      <c r="V439" s="280"/>
    </row>
    <row r="440" spans="1:22">
      <c r="A440" s="326">
        <v>1</v>
      </c>
      <c r="B440" s="327" t="s">
        <v>68</v>
      </c>
      <c r="C440" s="328">
        <v>1</v>
      </c>
      <c r="D440" s="364">
        <v>45783</v>
      </c>
      <c r="E440" s="329" t="s">
        <v>46</v>
      </c>
      <c r="F440" s="329" t="s">
        <v>46</v>
      </c>
      <c r="G440" s="329" t="s">
        <v>46</v>
      </c>
      <c r="H440" s="329" t="s">
        <v>46</v>
      </c>
      <c r="I440" s="329" t="s">
        <v>36</v>
      </c>
      <c r="J440" s="329" t="s">
        <v>48</v>
      </c>
      <c r="K440" s="329" t="s">
        <v>46</v>
      </c>
      <c r="L440" s="329" t="s">
        <v>46</v>
      </c>
      <c r="M440" s="329" t="s">
        <v>46</v>
      </c>
      <c r="N440" s="329" t="s">
        <v>46</v>
      </c>
      <c r="O440" s="329" t="s">
        <v>46</v>
      </c>
      <c r="P440" s="329" t="s">
        <v>33</v>
      </c>
      <c r="Q440" s="329">
        <f t="shared" ref="Q440:Q445" si="17">SUM(E440:P440)</f>
        <v>0</v>
      </c>
      <c r="R440" s="285" t="s">
        <v>36</v>
      </c>
      <c r="S440" s="285" t="s">
        <v>50</v>
      </c>
      <c r="T440" s="285" t="s">
        <v>101</v>
      </c>
      <c r="U440" s="286"/>
      <c r="V440" s="280" t="s">
        <v>46</v>
      </c>
    </row>
    <row r="441" spans="1:22">
      <c r="A441" s="330">
        <v>1</v>
      </c>
      <c r="B441" s="331" t="s">
        <v>68</v>
      </c>
      <c r="C441" s="332">
        <v>1</v>
      </c>
      <c r="D441" s="365">
        <v>45567</v>
      </c>
      <c r="E441" s="317" t="s">
        <v>46</v>
      </c>
      <c r="F441" s="317">
        <v>16.399999999999999</v>
      </c>
      <c r="G441" s="317">
        <v>1.2</v>
      </c>
      <c r="H441" s="317" t="s">
        <v>46</v>
      </c>
      <c r="I441" s="317" t="s">
        <v>36</v>
      </c>
      <c r="J441" s="317" t="s">
        <v>48</v>
      </c>
      <c r="K441" s="317" t="s">
        <v>46</v>
      </c>
      <c r="L441" s="317" t="s">
        <v>46</v>
      </c>
      <c r="M441" s="317" t="s">
        <v>46</v>
      </c>
      <c r="N441" s="317" t="s">
        <v>46</v>
      </c>
      <c r="O441" s="317" t="s">
        <v>46</v>
      </c>
      <c r="P441" s="317">
        <v>8.5</v>
      </c>
      <c r="Q441" s="317">
        <f t="shared" si="17"/>
        <v>26.099999999999998</v>
      </c>
      <c r="R441" s="270"/>
      <c r="S441" s="270"/>
      <c r="T441" s="270" t="s">
        <v>101</v>
      </c>
      <c r="U441" s="271" t="s">
        <v>101</v>
      </c>
      <c r="V441" s="280"/>
    </row>
    <row r="442" spans="1:22">
      <c r="A442" s="330">
        <v>1</v>
      </c>
      <c r="B442" s="331" t="s">
        <v>68</v>
      </c>
      <c r="C442" s="332">
        <v>1</v>
      </c>
      <c r="D442" s="365">
        <v>45510</v>
      </c>
      <c r="E442" s="317" t="s">
        <v>46</v>
      </c>
      <c r="F442" s="317">
        <v>1.9</v>
      </c>
      <c r="G442" s="317" t="s">
        <v>46</v>
      </c>
      <c r="H442" s="317" t="s">
        <v>46</v>
      </c>
      <c r="I442" s="317" t="s">
        <v>36</v>
      </c>
      <c r="J442" s="317" t="s">
        <v>48</v>
      </c>
      <c r="K442" s="317" t="s">
        <v>46</v>
      </c>
      <c r="L442" s="317" t="s">
        <v>46</v>
      </c>
      <c r="M442" s="317" t="s">
        <v>46</v>
      </c>
      <c r="N442" s="317" t="s">
        <v>46</v>
      </c>
      <c r="O442" s="317" t="s">
        <v>46</v>
      </c>
      <c r="P442" s="317">
        <v>0.9</v>
      </c>
      <c r="Q442" s="317">
        <f t="shared" si="17"/>
        <v>2.8</v>
      </c>
      <c r="R442" s="270"/>
      <c r="S442" s="270"/>
      <c r="T442" s="270" t="s">
        <v>101</v>
      </c>
      <c r="U442" s="271" t="s">
        <v>101</v>
      </c>
      <c r="V442" s="280"/>
    </row>
    <row r="443" spans="1:22">
      <c r="A443" s="330">
        <v>1</v>
      </c>
      <c r="B443" s="331" t="s">
        <v>68</v>
      </c>
      <c r="C443" s="332">
        <v>1</v>
      </c>
      <c r="D443" s="365">
        <v>45426</v>
      </c>
      <c r="E443" s="317" t="s">
        <v>46</v>
      </c>
      <c r="F443" s="317">
        <v>4.3</v>
      </c>
      <c r="G443" s="317">
        <v>1.1000000000000001</v>
      </c>
      <c r="H443" s="317" t="s">
        <v>46</v>
      </c>
      <c r="I443" s="317" t="s">
        <v>36</v>
      </c>
      <c r="J443" s="317" t="s">
        <v>48</v>
      </c>
      <c r="K443" s="317" t="s">
        <v>46</v>
      </c>
      <c r="L443" s="317" t="s">
        <v>46</v>
      </c>
      <c r="M443" s="317" t="s">
        <v>46</v>
      </c>
      <c r="N443" s="317" t="s">
        <v>46</v>
      </c>
      <c r="O443" s="317" t="s">
        <v>46</v>
      </c>
      <c r="P443" s="317">
        <v>0.9</v>
      </c>
      <c r="Q443" s="317">
        <f t="shared" si="17"/>
        <v>6.3000000000000007</v>
      </c>
      <c r="R443" s="270"/>
      <c r="S443" s="270"/>
      <c r="T443" s="270" t="s">
        <v>101</v>
      </c>
      <c r="U443" s="271" t="s">
        <v>101</v>
      </c>
      <c r="V443" s="280"/>
    </row>
    <row r="444" spans="1:22">
      <c r="A444" s="330">
        <v>1</v>
      </c>
      <c r="B444" s="331" t="s">
        <v>68</v>
      </c>
      <c r="C444" s="332">
        <v>1</v>
      </c>
      <c r="D444" s="365">
        <v>45357</v>
      </c>
      <c r="E444" s="317" t="s">
        <v>46</v>
      </c>
      <c r="F444" s="317">
        <v>120</v>
      </c>
      <c r="G444" s="317">
        <v>521</v>
      </c>
      <c r="H444" s="317">
        <v>1.9</v>
      </c>
      <c r="I444" s="317" t="s">
        <v>36</v>
      </c>
      <c r="J444" s="317">
        <v>2.8</v>
      </c>
      <c r="K444" s="317" t="s">
        <v>46</v>
      </c>
      <c r="L444" s="317">
        <v>2.1</v>
      </c>
      <c r="M444" s="317" t="s">
        <v>46</v>
      </c>
      <c r="N444" s="317" t="s">
        <v>46</v>
      </c>
      <c r="O444" s="317" t="s">
        <v>46</v>
      </c>
      <c r="P444" s="317">
        <v>887</v>
      </c>
      <c r="Q444" s="317">
        <f t="shared" si="17"/>
        <v>1534.8</v>
      </c>
      <c r="R444" s="270"/>
      <c r="S444" s="270"/>
      <c r="T444" s="270">
        <v>3710</v>
      </c>
      <c r="U444" s="271" t="s">
        <v>101</v>
      </c>
      <c r="V444" s="280"/>
    </row>
    <row r="445" spans="1:22">
      <c r="A445" s="330">
        <v>1</v>
      </c>
      <c r="B445" s="331" t="s">
        <v>68</v>
      </c>
      <c r="C445" s="332">
        <v>1</v>
      </c>
      <c r="D445" s="365">
        <v>45335</v>
      </c>
      <c r="E445" s="317" t="s">
        <v>46</v>
      </c>
      <c r="F445" s="317">
        <v>15.6</v>
      </c>
      <c r="G445" s="317">
        <v>135</v>
      </c>
      <c r="H445" s="317" t="s">
        <v>46</v>
      </c>
      <c r="I445" s="317" t="s">
        <v>36</v>
      </c>
      <c r="J445" s="317">
        <v>1.4</v>
      </c>
      <c r="K445" s="317" t="s">
        <v>46</v>
      </c>
      <c r="L445" s="317" t="s">
        <v>46</v>
      </c>
      <c r="M445" s="317" t="s">
        <v>46</v>
      </c>
      <c r="N445" s="317" t="s">
        <v>46</v>
      </c>
      <c r="O445" s="317" t="s">
        <v>46</v>
      </c>
      <c r="P445" s="317">
        <v>1250</v>
      </c>
      <c r="Q445" s="317">
        <f t="shared" si="17"/>
        <v>1402</v>
      </c>
      <c r="R445" s="270"/>
      <c r="S445" s="270"/>
      <c r="T445" s="270">
        <v>2930</v>
      </c>
      <c r="U445" s="271" t="s">
        <v>101</v>
      </c>
      <c r="V445" s="280"/>
    </row>
    <row r="446" spans="1:22" ht="15" thickBot="1">
      <c r="A446" s="308">
        <v>1</v>
      </c>
      <c r="B446" s="309" t="s">
        <v>68</v>
      </c>
      <c r="C446" s="310">
        <v>1</v>
      </c>
      <c r="D446" s="362">
        <v>44160</v>
      </c>
      <c r="E446" s="311">
        <v>1.2</v>
      </c>
      <c r="F446" s="311">
        <v>592</v>
      </c>
      <c r="G446" s="311">
        <v>12.3</v>
      </c>
      <c r="H446" s="311" t="s">
        <v>46</v>
      </c>
      <c r="I446" s="311" t="s">
        <v>36</v>
      </c>
      <c r="J446" s="311">
        <v>0.8</v>
      </c>
      <c r="K446" s="311">
        <v>1.3</v>
      </c>
      <c r="L446" s="311">
        <v>14.8</v>
      </c>
      <c r="M446" s="311">
        <v>1.7</v>
      </c>
      <c r="N446" s="311" t="s">
        <v>46</v>
      </c>
      <c r="O446" s="311" t="s">
        <v>46</v>
      </c>
      <c r="P446" s="311">
        <v>4.3</v>
      </c>
      <c r="Q446" s="311">
        <f>SUM(E446:P446)</f>
        <v>628.39999999999986</v>
      </c>
      <c r="R446" s="295"/>
      <c r="S446" s="295"/>
      <c r="T446" s="295"/>
      <c r="U446" s="296"/>
      <c r="V446" s="280"/>
    </row>
    <row r="447" spans="1:22" ht="15" thickBot="1">
      <c r="A447" s="321"/>
      <c r="C447" s="322"/>
      <c r="E447" s="265"/>
      <c r="F447" s="265"/>
      <c r="G447" s="265"/>
      <c r="H447" s="265"/>
      <c r="I447" s="265"/>
      <c r="J447" s="265"/>
      <c r="K447" s="265"/>
      <c r="L447" s="265"/>
      <c r="M447" s="265"/>
      <c r="N447" s="265"/>
      <c r="O447" s="265"/>
      <c r="P447" s="265"/>
      <c r="Q447" s="265"/>
      <c r="R447" s="280"/>
      <c r="S447" s="280"/>
      <c r="T447" s="280"/>
      <c r="U447" s="280"/>
      <c r="V447" s="280"/>
    </row>
    <row r="448" spans="1:22">
      <c r="A448" s="281">
        <v>1</v>
      </c>
      <c r="B448" s="282" t="s">
        <v>68</v>
      </c>
      <c r="C448" s="283">
        <v>2</v>
      </c>
      <c r="D448" s="358">
        <v>45792</v>
      </c>
      <c r="E448" s="284" t="s">
        <v>46</v>
      </c>
      <c r="F448" s="284">
        <v>9.1</v>
      </c>
      <c r="G448" s="284">
        <v>1.3</v>
      </c>
      <c r="H448" s="284" t="s">
        <v>46</v>
      </c>
      <c r="I448" s="284" t="s">
        <v>36</v>
      </c>
      <c r="J448" s="284" t="s">
        <v>48</v>
      </c>
      <c r="K448" s="284" t="s">
        <v>46</v>
      </c>
      <c r="L448" s="284">
        <v>1.1000000000000001</v>
      </c>
      <c r="M448" s="284" t="s">
        <v>46</v>
      </c>
      <c r="N448" s="284" t="s">
        <v>46</v>
      </c>
      <c r="O448" s="284" t="s">
        <v>46</v>
      </c>
      <c r="P448" s="284">
        <v>69.099999999999994</v>
      </c>
      <c r="Q448" s="284">
        <f t="shared" ref="Q448:Q465" si="18">SUM(E448:P448)</f>
        <v>80.599999999999994</v>
      </c>
      <c r="R448" s="285" t="s">
        <v>36</v>
      </c>
      <c r="S448" s="285" t="s">
        <v>50</v>
      </c>
      <c r="T448" s="285">
        <v>50</v>
      </c>
      <c r="U448" s="286"/>
      <c r="V448" s="280" t="s">
        <v>46</v>
      </c>
    </row>
    <row r="449" spans="1:22">
      <c r="A449" s="287">
        <v>1</v>
      </c>
      <c r="B449" s="288" t="s">
        <v>68</v>
      </c>
      <c r="C449" s="289">
        <v>2</v>
      </c>
      <c r="D449" s="359">
        <v>45244</v>
      </c>
      <c r="E449" s="290" t="s">
        <v>46</v>
      </c>
      <c r="F449" s="290">
        <v>3.8</v>
      </c>
      <c r="G449" s="290">
        <v>2.8</v>
      </c>
      <c r="H449" s="290" t="s">
        <v>46</v>
      </c>
      <c r="I449" s="290" t="s">
        <v>36</v>
      </c>
      <c r="J449" s="290">
        <v>1.8</v>
      </c>
      <c r="K449" s="290" t="s">
        <v>46</v>
      </c>
      <c r="L449" s="290" t="s">
        <v>46</v>
      </c>
      <c r="M449" s="290" t="s">
        <v>46</v>
      </c>
      <c r="N449" s="290" t="s">
        <v>46</v>
      </c>
      <c r="O449" s="290" t="s">
        <v>46</v>
      </c>
      <c r="P449" s="290">
        <v>2.7</v>
      </c>
      <c r="Q449" s="290">
        <f t="shared" si="18"/>
        <v>11.100000000000001</v>
      </c>
      <c r="R449" s="270"/>
      <c r="S449" s="270"/>
      <c r="T449" s="270">
        <v>40</v>
      </c>
      <c r="U449" s="271" t="s">
        <v>101</v>
      </c>
      <c r="V449" s="280"/>
    </row>
    <row r="450" spans="1:22">
      <c r="A450" s="287">
        <v>1</v>
      </c>
      <c r="B450" s="288" t="s">
        <v>68</v>
      </c>
      <c r="C450" s="289">
        <v>2</v>
      </c>
      <c r="D450" s="359">
        <v>45160</v>
      </c>
      <c r="E450" s="290" t="s">
        <v>46</v>
      </c>
      <c r="F450" s="290">
        <v>345</v>
      </c>
      <c r="G450" s="290">
        <v>93.3</v>
      </c>
      <c r="H450" s="290" t="s">
        <v>46</v>
      </c>
      <c r="I450" s="290" t="s">
        <v>36</v>
      </c>
      <c r="J450" s="290">
        <v>2.2999999999999998</v>
      </c>
      <c r="K450" s="290" t="s">
        <v>46</v>
      </c>
      <c r="L450" s="290">
        <v>1.1000000000000001</v>
      </c>
      <c r="M450" s="290" t="s">
        <v>46</v>
      </c>
      <c r="N450" s="290" t="s">
        <v>46</v>
      </c>
      <c r="O450" s="290" t="s">
        <v>46</v>
      </c>
      <c r="P450" s="290">
        <v>248</v>
      </c>
      <c r="Q450" s="290">
        <f t="shared" si="18"/>
        <v>689.7</v>
      </c>
      <c r="R450" s="270"/>
      <c r="S450" s="270"/>
      <c r="T450" s="270">
        <v>390</v>
      </c>
      <c r="U450" s="271" t="s">
        <v>101</v>
      </c>
      <c r="V450" s="280"/>
    </row>
    <row r="451" spans="1:22">
      <c r="A451" s="287">
        <v>1</v>
      </c>
      <c r="B451" s="288" t="s">
        <v>68</v>
      </c>
      <c r="C451" s="289">
        <v>2</v>
      </c>
      <c r="D451" s="359">
        <v>45062</v>
      </c>
      <c r="E451" s="290" t="s">
        <v>46</v>
      </c>
      <c r="F451" s="290">
        <v>2.1</v>
      </c>
      <c r="G451" s="290">
        <v>54.7</v>
      </c>
      <c r="H451" s="290" t="s">
        <v>46</v>
      </c>
      <c r="I451" s="290" t="s">
        <v>36</v>
      </c>
      <c r="J451" s="290">
        <v>1.6</v>
      </c>
      <c r="K451" s="290" t="s">
        <v>46</v>
      </c>
      <c r="L451" s="290" t="s">
        <v>46</v>
      </c>
      <c r="M451" s="290" t="s">
        <v>46</v>
      </c>
      <c r="N451" s="290" t="s">
        <v>46</v>
      </c>
      <c r="O451" s="290" t="s">
        <v>46</v>
      </c>
      <c r="P451" s="290">
        <v>1.2</v>
      </c>
      <c r="Q451" s="290">
        <f t="shared" si="18"/>
        <v>59.600000000000009</v>
      </c>
      <c r="R451" s="270"/>
      <c r="S451" s="270"/>
      <c r="T451" s="270"/>
      <c r="U451" s="271"/>
      <c r="V451" s="280"/>
    </row>
    <row r="452" spans="1:22">
      <c r="A452" s="287">
        <v>1</v>
      </c>
      <c r="B452" s="288" t="s">
        <v>68</v>
      </c>
      <c r="C452" s="289">
        <v>2</v>
      </c>
      <c r="D452" s="359">
        <v>44978</v>
      </c>
      <c r="E452" s="290">
        <v>19.3</v>
      </c>
      <c r="F452" s="290">
        <v>9920</v>
      </c>
      <c r="G452" s="290">
        <v>1200</v>
      </c>
      <c r="H452" s="290" t="s">
        <v>46</v>
      </c>
      <c r="I452" s="290" t="s">
        <v>36</v>
      </c>
      <c r="J452" s="290">
        <v>3.9</v>
      </c>
      <c r="K452" s="290" t="s">
        <v>46</v>
      </c>
      <c r="L452" s="290">
        <v>1.5</v>
      </c>
      <c r="M452" s="290" t="s">
        <v>46</v>
      </c>
      <c r="N452" s="290" t="s">
        <v>46</v>
      </c>
      <c r="O452" s="290" t="s">
        <v>46</v>
      </c>
      <c r="P452" s="290">
        <v>3900</v>
      </c>
      <c r="Q452" s="290">
        <f t="shared" si="18"/>
        <v>15044.699999999999</v>
      </c>
      <c r="R452" s="270"/>
      <c r="S452" s="270"/>
      <c r="T452" s="270">
        <v>1080</v>
      </c>
      <c r="U452" s="271" t="s">
        <v>101</v>
      </c>
      <c r="V452" s="280"/>
    </row>
    <row r="453" spans="1:22">
      <c r="A453" s="287">
        <v>1</v>
      </c>
      <c r="B453" s="288" t="s">
        <v>68</v>
      </c>
      <c r="C453" s="289">
        <v>2</v>
      </c>
      <c r="D453" s="359">
        <v>44880</v>
      </c>
      <c r="E453" s="290" t="s">
        <v>46</v>
      </c>
      <c r="F453" s="290">
        <v>8.1</v>
      </c>
      <c r="G453" s="290">
        <v>6.9</v>
      </c>
      <c r="H453" s="290" t="s">
        <v>46</v>
      </c>
      <c r="I453" s="290" t="s">
        <v>36</v>
      </c>
      <c r="J453" s="290">
        <v>0.5</v>
      </c>
      <c r="K453" s="290" t="s">
        <v>46</v>
      </c>
      <c r="L453" s="290">
        <v>4</v>
      </c>
      <c r="M453" s="290" t="s">
        <v>46</v>
      </c>
      <c r="N453" s="290" t="s">
        <v>46</v>
      </c>
      <c r="O453" s="290" t="s">
        <v>46</v>
      </c>
      <c r="P453" s="290">
        <v>9.8000000000000007</v>
      </c>
      <c r="Q453" s="290">
        <f t="shared" si="18"/>
        <v>29.3</v>
      </c>
      <c r="R453" s="270"/>
      <c r="S453" s="270"/>
      <c r="T453" s="270" t="s">
        <v>101</v>
      </c>
      <c r="U453" s="271" t="s">
        <v>101</v>
      </c>
      <c r="V453" s="280"/>
    </row>
    <row r="454" spans="1:22">
      <c r="A454" s="287">
        <v>1</v>
      </c>
      <c r="B454" s="288" t="s">
        <v>68</v>
      </c>
      <c r="C454" s="289">
        <v>2</v>
      </c>
      <c r="D454" s="359">
        <v>44747</v>
      </c>
      <c r="E454" s="290" t="s">
        <v>46</v>
      </c>
      <c r="F454" s="290">
        <v>2</v>
      </c>
      <c r="G454" s="290" t="s">
        <v>46</v>
      </c>
      <c r="H454" s="290" t="s">
        <v>46</v>
      </c>
      <c r="I454" s="290" t="s">
        <v>36</v>
      </c>
      <c r="J454" s="290" t="s">
        <v>48</v>
      </c>
      <c r="K454" s="290" t="s">
        <v>46</v>
      </c>
      <c r="L454" s="290" t="s">
        <v>46</v>
      </c>
      <c r="M454" s="290" t="s">
        <v>46</v>
      </c>
      <c r="N454" s="290" t="s">
        <v>46</v>
      </c>
      <c r="O454" s="290" t="s">
        <v>46</v>
      </c>
      <c r="P454" s="290" t="s">
        <v>33</v>
      </c>
      <c r="Q454" s="290">
        <f t="shared" si="18"/>
        <v>2</v>
      </c>
      <c r="R454" s="270"/>
      <c r="S454" s="270"/>
      <c r="T454" s="270" t="s">
        <v>101</v>
      </c>
      <c r="U454" s="271" t="s">
        <v>101</v>
      </c>
      <c r="V454" s="280" t="s">
        <v>46</v>
      </c>
    </row>
    <row r="455" spans="1:22">
      <c r="A455" s="287">
        <v>1</v>
      </c>
      <c r="B455" s="288" t="s">
        <v>68</v>
      </c>
      <c r="C455" s="289">
        <v>2</v>
      </c>
      <c r="D455" s="359">
        <v>44704</v>
      </c>
      <c r="E455" s="290" t="s">
        <v>46</v>
      </c>
      <c r="F455" s="290" t="s">
        <v>46</v>
      </c>
      <c r="G455" s="290">
        <v>11.9</v>
      </c>
      <c r="H455" s="290" t="s">
        <v>46</v>
      </c>
      <c r="I455" s="290" t="s">
        <v>36</v>
      </c>
      <c r="J455" s="290">
        <v>1.1000000000000001</v>
      </c>
      <c r="K455" s="290" t="s">
        <v>46</v>
      </c>
      <c r="L455" s="290" t="s">
        <v>46</v>
      </c>
      <c r="M455" s="290" t="s">
        <v>46</v>
      </c>
      <c r="N455" s="290" t="s">
        <v>46</v>
      </c>
      <c r="O455" s="290" t="s">
        <v>46</v>
      </c>
      <c r="P455" s="290">
        <v>2.8</v>
      </c>
      <c r="Q455" s="290">
        <f t="shared" si="18"/>
        <v>15.8</v>
      </c>
      <c r="R455" s="270" t="s">
        <v>36</v>
      </c>
      <c r="S455" s="270" t="s">
        <v>50</v>
      </c>
      <c r="T455" s="270">
        <v>240</v>
      </c>
      <c r="U455" s="271" t="s">
        <v>101</v>
      </c>
      <c r="V455" s="280"/>
    </row>
    <row r="456" spans="1:22">
      <c r="A456" s="287">
        <v>1</v>
      </c>
      <c r="B456" s="288" t="s">
        <v>68</v>
      </c>
      <c r="C456" s="289">
        <v>2</v>
      </c>
      <c r="D456" s="359">
        <v>44613</v>
      </c>
      <c r="E456" s="290" t="s">
        <v>46</v>
      </c>
      <c r="F456" s="290">
        <v>32.1</v>
      </c>
      <c r="G456" s="290">
        <v>5.0999999999999996</v>
      </c>
      <c r="H456" s="290" t="s">
        <v>46</v>
      </c>
      <c r="I456" s="290" t="s">
        <v>36</v>
      </c>
      <c r="J456" s="290">
        <v>0.9</v>
      </c>
      <c r="K456" s="290" t="s">
        <v>46</v>
      </c>
      <c r="L456" s="290" t="s">
        <v>46</v>
      </c>
      <c r="M456" s="290" t="s">
        <v>46</v>
      </c>
      <c r="N456" s="290" t="s">
        <v>46</v>
      </c>
      <c r="O456" s="290" t="s">
        <v>46</v>
      </c>
      <c r="P456" s="290">
        <v>41.7</v>
      </c>
      <c r="Q456" s="290">
        <f t="shared" si="18"/>
        <v>79.800000000000011</v>
      </c>
      <c r="R456" s="270"/>
      <c r="S456" s="270"/>
      <c r="T456" s="270">
        <v>70</v>
      </c>
      <c r="U456" s="271" t="s">
        <v>101</v>
      </c>
      <c r="V456" s="280"/>
    </row>
    <row r="457" spans="1:22">
      <c r="A457" s="287">
        <v>1</v>
      </c>
      <c r="B457" s="288" t="s">
        <v>68</v>
      </c>
      <c r="C457" s="289">
        <v>2</v>
      </c>
      <c r="D457" s="359">
        <v>44515</v>
      </c>
      <c r="E457" s="290" t="s">
        <v>46</v>
      </c>
      <c r="F457" s="290">
        <v>3.7</v>
      </c>
      <c r="G457" s="290">
        <v>29.2</v>
      </c>
      <c r="H457" s="290" t="s">
        <v>46</v>
      </c>
      <c r="I457" s="290" t="s">
        <v>36</v>
      </c>
      <c r="J457" s="290">
        <v>2.2999999999999998</v>
      </c>
      <c r="K457" s="290" t="s">
        <v>46</v>
      </c>
      <c r="L457" s="290" t="s">
        <v>46</v>
      </c>
      <c r="M457" s="290" t="s">
        <v>46</v>
      </c>
      <c r="N457" s="290" t="s">
        <v>46</v>
      </c>
      <c r="O457" s="290" t="s">
        <v>46</v>
      </c>
      <c r="P457" s="290">
        <v>0.9</v>
      </c>
      <c r="Q457" s="290">
        <f t="shared" si="18"/>
        <v>36.099999999999994</v>
      </c>
      <c r="R457" s="270"/>
      <c r="S457" s="270"/>
      <c r="T457" s="270">
        <v>140</v>
      </c>
      <c r="U457" s="271" t="s">
        <v>101</v>
      </c>
      <c r="V457" s="280"/>
    </row>
    <row r="458" spans="1:22">
      <c r="A458" s="287">
        <v>1</v>
      </c>
      <c r="B458" s="288" t="s">
        <v>68</v>
      </c>
      <c r="C458" s="289">
        <v>2</v>
      </c>
      <c r="D458" s="359">
        <v>44431</v>
      </c>
      <c r="E458" s="290" t="s">
        <v>46</v>
      </c>
      <c r="F458" s="290">
        <v>24</v>
      </c>
      <c r="G458" s="290">
        <v>27</v>
      </c>
      <c r="H458" s="290" t="s">
        <v>46</v>
      </c>
      <c r="I458" s="290" t="s">
        <v>36</v>
      </c>
      <c r="J458" s="290">
        <v>2.6</v>
      </c>
      <c r="K458" s="290" t="s">
        <v>46</v>
      </c>
      <c r="L458" s="290">
        <v>4.2</v>
      </c>
      <c r="M458" s="290" t="s">
        <v>46</v>
      </c>
      <c r="N458" s="290" t="s">
        <v>46</v>
      </c>
      <c r="O458" s="290" t="s">
        <v>46</v>
      </c>
      <c r="P458" s="290">
        <v>7.5</v>
      </c>
      <c r="Q458" s="290">
        <f t="shared" si="18"/>
        <v>65.300000000000011</v>
      </c>
      <c r="R458" s="270"/>
      <c r="S458" s="270"/>
      <c r="T458" s="270"/>
      <c r="U458" s="271"/>
      <c r="V458" s="280"/>
    </row>
    <row r="459" spans="1:22">
      <c r="A459" s="287">
        <v>1</v>
      </c>
      <c r="B459" s="288" t="s">
        <v>68</v>
      </c>
      <c r="C459" s="289">
        <v>2</v>
      </c>
      <c r="D459" s="359">
        <v>44341</v>
      </c>
      <c r="E459" s="290" t="s">
        <v>46</v>
      </c>
      <c r="F459" s="290">
        <v>223</v>
      </c>
      <c r="G459" s="290">
        <v>31.7</v>
      </c>
      <c r="H459" s="290" t="s">
        <v>46</v>
      </c>
      <c r="I459" s="290" t="s">
        <v>36</v>
      </c>
      <c r="J459" s="290">
        <v>1.1000000000000001</v>
      </c>
      <c r="K459" s="290" t="s">
        <v>46</v>
      </c>
      <c r="L459" s="290">
        <v>11.2</v>
      </c>
      <c r="M459" s="290" t="s">
        <v>46</v>
      </c>
      <c r="N459" s="290" t="s">
        <v>46</v>
      </c>
      <c r="O459" s="290" t="s">
        <v>46</v>
      </c>
      <c r="P459" s="290">
        <v>163</v>
      </c>
      <c r="Q459" s="290">
        <f t="shared" si="18"/>
        <v>430</v>
      </c>
      <c r="R459" s="270"/>
      <c r="S459" s="270" t="s">
        <v>50</v>
      </c>
      <c r="T459" s="270"/>
      <c r="U459" s="271"/>
      <c r="V459" s="280"/>
    </row>
    <row r="460" spans="1:22">
      <c r="A460" s="287">
        <v>1</v>
      </c>
      <c r="B460" s="288" t="s">
        <v>68</v>
      </c>
      <c r="C460" s="289">
        <v>2</v>
      </c>
      <c r="D460" s="359">
        <v>44312</v>
      </c>
      <c r="E460" s="346" t="s">
        <v>46</v>
      </c>
      <c r="F460" s="290">
        <v>359</v>
      </c>
      <c r="G460" s="290">
        <v>39.5</v>
      </c>
      <c r="H460" s="290" t="s">
        <v>46</v>
      </c>
      <c r="I460" s="290" t="s">
        <v>36</v>
      </c>
      <c r="J460" s="290" t="s">
        <v>48</v>
      </c>
      <c r="K460" s="290" t="s">
        <v>46</v>
      </c>
      <c r="L460" s="290">
        <v>18.600000000000001</v>
      </c>
      <c r="M460" s="290" t="s">
        <v>46</v>
      </c>
      <c r="N460" s="290" t="s">
        <v>46</v>
      </c>
      <c r="O460" s="290">
        <v>2.5</v>
      </c>
      <c r="P460" s="290">
        <v>177</v>
      </c>
      <c r="Q460" s="290">
        <f t="shared" si="18"/>
        <v>596.6</v>
      </c>
      <c r="R460" s="270"/>
      <c r="S460" s="270"/>
      <c r="T460" s="270"/>
      <c r="U460" s="271"/>
      <c r="V460" s="280"/>
    </row>
    <row r="461" spans="1:22">
      <c r="A461" s="287">
        <v>1</v>
      </c>
      <c r="B461" s="288" t="s">
        <v>68</v>
      </c>
      <c r="C461" s="289">
        <v>2</v>
      </c>
      <c r="D461" s="359">
        <v>44249</v>
      </c>
      <c r="E461" s="290">
        <v>1</v>
      </c>
      <c r="F461" s="290">
        <v>270</v>
      </c>
      <c r="G461" s="290">
        <v>42.6</v>
      </c>
      <c r="H461" s="290" t="s">
        <v>46</v>
      </c>
      <c r="I461" s="290" t="s">
        <v>36</v>
      </c>
      <c r="J461" s="290">
        <v>0.7</v>
      </c>
      <c r="K461" s="290" t="s">
        <v>46</v>
      </c>
      <c r="L461" s="290">
        <v>6.6</v>
      </c>
      <c r="M461" s="290" t="s">
        <v>46</v>
      </c>
      <c r="N461" s="290" t="s">
        <v>46</v>
      </c>
      <c r="O461" s="290" t="s">
        <v>46</v>
      </c>
      <c r="P461" s="290">
        <v>101</v>
      </c>
      <c r="Q461" s="290">
        <f t="shared" si="18"/>
        <v>421.90000000000003</v>
      </c>
      <c r="R461" s="270"/>
      <c r="S461" s="270"/>
      <c r="T461" s="270"/>
      <c r="U461" s="271"/>
      <c r="V461" s="280"/>
    </row>
    <row r="462" spans="1:22">
      <c r="A462" s="287">
        <v>1</v>
      </c>
      <c r="B462" s="288" t="s">
        <v>68</v>
      </c>
      <c r="C462" s="289">
        <v>2</v>
      </c>
      <c r="D462" s="359">
        <v>44217</v>
      </c>
      <c r="E462" s="290">
        <v>1</v>
      </c>
      <c r="F462" s="290">
        <v>226</v>
      </c>
      <c r="G462" s="290">
        <v>42.5</v>
      </c>
      <c r="H462" s="290" t="s">
        <v>46</v>
      </c>
      <c r="I462" s="290" t="s">
        <v>36</v>
      </c>
      <c r="J462" s="290">
        <v>0.8</v>
      </c>
      <c r="K462" s="290" t="s">
        <v>46</v>
      </c>
      <c r="L462" s="290">
        <v>5</v>
      </c>
      <c r="M462" s="290" t="s">
        <v>46</v>
      </c>
      <c r="N462" s="290" t="s">
        <v>46</v>
      </c>
      <c r="O462" s="290" t="s">
        <v>46</v>
      </c>
      <c r="P462" s="290">
        <v>28.3</v>
      </c>
      <c r="Q462" s="290">
        <f t="shared" si="18"/>
        <v>303.60000000000002</v>
      </c>
      <c r="R462" s="270"/>
      <c r="S462" s="270"/>
      <c r="T462" s="270"/>
      <c r="U462" s="271"/>
      <c r="V462" s="280"/>
    </row>
    <row r="463" spans="1:22">
      <c r="A463" s="287">
        <v>1</v>
      </c>
      <c r="B463" s="288" t="s">
        <v>68</v>
      </c>
      <c r="C463" s="289">
        <v>2</v>
      </c>
      <c r="D463" s="359">
        <v>44186</v>
      </c>
      <c r="E463" s="290"/>
      <c r="F463" s="290">
        <v>238</v>
      </c>
      <c r="G463" s="290">
        <v>29.1</v>
      </c>
      <c r="H463" s="290"/>
      <c r="I463" s="290" t="s">
        <v>36</v>
      </c>
      <c r="J463" s="290">
        <v>0.8</v>
      </c>
      <c r="K463" s="290"/>
      <c r="L463" s="290">
        <v>11.8</v>
      </c>
      <c r="M463" s="290"/>
      <c r="N463" s="290"/>
      <c r="O463" s="290"/>
      <c r="P463" s="290">
        <v>13.5</v>
      </c>
      <c r="Q463" s="290">
        <f t="shared" si="18"/>
        <v>293.20000000000005</v>
      </c>
      <c r="R463" s="270"/>
      <c r="S463" s="270"/>
      <c r="T463" s="270"/>
      <c r="U463" s="271"/>
      <c r="V463" s="280"/>
    </row>
    <row r="464" spans="1:22">
      <c r="A464" s="287">
        <v>1</v>
      </c>
      <c r="B464" s="288" t="s">
        <v>68</v>
      </c>
      <c r="C464" s="289">
        <v>2</v>
      </c>
      <c r="D464" s="359">
        <v>44174</v>
      </c>
      <c r="E464" s="290">
        <v>1.1000000000000001</v>
      </c>
      <c r="F464" s="290">
        <v>350</v>
      </c>
      <c r="G464" s="290">
        <v>30.1</v>
      </c>
      <c r="H464" s="290" t="s">
        <v>46</v>
      </c>
      <c r="I464" s="290" t="s">
        <v>36</v>
      </c>
      <c r="J464" s="290">
        <v>0.8</v>
      </c>
      <c r="K464" s="290" t="s">
        <v>46</v>
      </c>
      <c r="L464" s="290">
        <v>19.5</v>
      </c>
      <c r="M464" s="290" t="s">
        <v>46</v>
      </c>
      <c r="N464" s="290" t="s">
        <v>46</v>
      </c>
      <c r="O464" s="290" t="s">
        <v>46</v>
      </c>
      <c r="P464" s="290">
        <v>26</v>
      </c>
      <c r="Q464" s="290">
        <f t="shared" si="18"/>
        <v>427.50000000000006</v>
      </c>
      <c r="R464" s="270"/>
      <c r="S464" s="270"/>
      <c r="T464" s="270"/>
      <c r="U464" s="271"/>
      <c r="V464" s="280"/>
    </row>
    <row r="465" spans="1:22" ht="15" thickBot="1">
      <c r="A465" s="308">
        <v>1</v>
      </c>
      <c r="B465" s="309" t="s">
        <v>68</v>
      </c>
      <c r="C465" s="310">
        <v>2</v>
      </c>
      <c r="D465" s="362">
        <v>44160</v>
      </c>
      <c r="E465" s="311">
        <v>23</v>
      </c>
      <c r="F465" s="311">
        <v>4100</v>
      </c>
      <c r="G465" s="311">
        <v>43.7</v>
      </c>
      <c r="H465" s="311" t="s">
        <v>46</v>
      </c>
      <c r="I465" s="311" t="s">
        <v>36</v>
      </c>
      <c r="J465" s="311">
        <v>2</v>
      </c>
      <c r="K465" s="311" t="s">
        <v>46</v>
      </c>
      <c r="L465" s="311">
        <v>473</v>
      </c>
      <c r="M465" s="311">
        <v>7.7</v>
      </c>
      <c r="N465" s="311">
        <v>1.4</v>
      </c>
      <c r="O465" s="311" t="s">
        <v>46</v>
      </c>
      <c r="P465" s="311">
        <v>64.8</v>
      </c>
      <c r="Q465" s="311">
        <f t="shared" si="18"/>
        <v>4715.5999999999995</v>
      </c>
      <c r="R465" s="295"/>
      <c r="S465" s="295"/>
      <c r="T465" s="295"/>
      <c r="U465" s="296"/>
      <c r="V465" s="280"/>
    </row>
    <row r="466" spans="1:22" ht="15" thickBot="1">
      <c r="A466" s="321"/>
      <c r="C466" s="322"/>
      <c r="E466" s="265"/>
      <c r="F466" s="265"/>
      <c r="G466" s="265"/>
      <c r="H466" s="265"/>
      <c r="I466" s="265"/>
      <c r="J466" s="265"/>
      <c r="K466" s="265"/>
      <c r="L466" s="265"/>
      <c r="M466" s="265"/>
      <c r="N466" s="265"/>
      <c r="O466" s="265"/>
      <c r="P466" s="265"/>
      <c r="Q466" s="265"/>
      <c r="R466" s="280"/>
      <c r="S466" s="280"/>
      <c r="T466" s="280"/>
      <c r="U466" s="280"/>
      <c r="V466" s="280"/>
    </row>
    <row r="467" spans="1:22">
      <c r="A467" s="258">
        <v>1</v>
      </c>
      <c r="B467" s="259" t="s">
        <v>68</v>
      </c>
      <c r="C467" s="260">
        <v>3</v>
      </c>
      <c r="D467" s="355">
        <v>45783</v>
      </c>
      <c r="E467" s="262" t="s">
        <v>46</v>
      </c>
      <c r="F467" s="261" t="s">
        <v>46</v>
      </c>
      <c r="G467" s="262" t="s">
        <v>46</v>
      </c>
      <c r="H467" s="262" t="s">
        <v>46</v>
      </c>
      <c r="I467" s="262" t="s">
        <v>36</v>
      </c>
      <c r="J467" s="262" t="s">
        <v>48</v>
      </c>
      <c r="K467" s="262" t="s">
        <v>46</v>
      </c>
      <c r="L467" s="262" t="s">
        <v>46</v>
      </c>
      <c r="M467" s="262" t="s">
        <v>46</v>
      </c>
      <c r="N467" s="262" t="s">
        <v>46</v>
      </c>
      <c r="O467" s="262" t="s">
        <v>46</v>
      </c>
      <c r="P467" s="262" t="s">
        <v>33</v>
      </c>
      <c r="Q467" s="262">
        <f t="shared" ref="Q467:Q479" si="19">SUM(E467:P467)</f>
        <v>0</v>
      </c>
      <c r="R467" s="285" t="s">
        <v>36</v>
      </c>
      <c r="S467" s="285" t="s">
        <v>50</v>
      </c>
      <c r="T467" s="285" t="s">
        <v>101</v>
      </c>
      <c r="U467" s="286"/>
      <c r="V467" s="280" t="s">
        <v>46</v>
      </c>
    </row>
    <row r="468" spans="1:22">
      <c r="A468" s="266">
        <v>1</v>
      </c>
      <c r="B468" s="267" t="s">
        <v>68</v>
      </c>
      <c r="C468" s="268">
        <v>3</v>
      </c>
      <c r="D468" s="356">
        <v>45567</v>
      </c>
      <c r="E468" s="269" t="s">
        <v>46</v>
      </c>
      <c r="F468" s="272">
        <v>11</v>
      </c>
      <c r="G468" s="269" t="s">
        <v>46</v>
      </c>
      <c r="H468" s="269" t="s">
        <v>46</v>
      </c>
      <c r="I468" s="269" t="s">
        <v>36</v>
      </c>
      <c r="J468" s="269" t="s">
        <v>48</v>
      </c>
      <c r="K468" s="269" t="s">
        <v>46</v>
      </c>
      <c r="L468" s="269">
        <v>3.1</v>
      </c>
      <c r="M468" s="269" t="s">
        <v>46</v>
      </c>
      <c r="N468" s="269" t="s">
        <v>46</v>
      </c>
      <c r="O468" s="269" t="s">
        <v>46</v>
      </c>
      <c r="P468" s="269">
        <v>4.5999999999999996</v>
      </c>
      <c r="Q468" s="269">
        <f t="shared" si="19"/>
        <v>18.7</v>
      </c>
      <c r="R468" s="270"/>
      <c r="S468" s="270"/>
      <c r="T468" s="270" t="s">
        <v>101</v>
      </c>
      <c r="U468" s="271" t="s">
        <v>101</v>
      </c>
      <c r="V468" s="280"/>
    </row>
    <row r="469" spans="1:22">
      <c r="A469" s="266">
        <v>1</v>
      </c>
      <c r="B469" s="267" t="s">
        <v>68</v>
      </c>
      <c r="C469" s="268">
        <v>3</v>
      </c>
      <c r="D469" s="356">
        <v>45510</v>
      </c>
      <c r="E469" s="269" t="s">
        <v>46</v>
      </c>
      <c r="F469" s="272">
        <v>1.7</v>
      </c>
      <c r="G469" s="269" t="s">
        <v>46</v>
      </c>
      <c r="H469" s="269" t="s">
        <v>46</v>
      </c>
      <c r="I469" s="269" t="s">
        <v>36</v>
      </c>
      <c r="J469" s="269">
        <v>0.5</v>
      </c>
      <c r="K469" s="269" t="s">
        <v>46</v>
      </c>
      <c r="L469" s="269" t="s">
        <v>46</v>
      </c>
      <c r="M469" s="269" t="s">
        <v>46</v>
      </c>
      <c r="N469" s="269" t="s">
        <v>46</v>
      </c>
      <c r="O469" s="269" t="s">
        <v>46</v>
      </c>
      <c r="P469" s="269">
        <v>0.4</v>
      </c>
      <c r="Q469" s="269">
        <f t="shared" si="19"/>
        <v>2.6</v>
      </c>
      <c r="R469" s="270"/>
      <c r="S469" s="270"/>
      <c r="T469" s="270" t="s">
        <v>101</v>
      </c>
      <c r="U469" s="271" t="s">
        <v>101</v>
      </c>
      <c r="V469" s="280"/>
    </row>
    <row r="470" spans="1:22">
      <c r="A470" s="266">
        <v>1</v>
      </c>
      <c r="B470" s="267" t="s">
        <v>68</v>
      </c>
      <c r="C470" s="268">
        <v>3</v>
      </c>
      <c r="D470" s="356">
        <v>45426</v>
      </c>
      <c r="E470" s="269" t="s">
        <v>46</v>
      </c>
      <c r="F470" s="272">
        <v>1.4</v>
      </c>
      <c r="G470" s="269" t="s">
        <v>46</v>
      </c>
      <c r="H470" s="269" t="s">
        <v>46</v>
      </c>
      <c r="I470" s="269" t="s">
        <v>36</v>
      </c>
      <c r="J470" s="269">
        <v>1.1000000000000001</v>
      </c>
      <c r="K470" s="269" t="s">
        <v>46</v>
      </c>
      <c r="L470" s="269" t="s">
        <v>46</v>
      </c>
      <c r="M470" s="269" t="s">
        <v>46</v>
      </c>
      <c r="N470" s="269" t="s">
        <v>46</v>
      </c>
      <c r="O470" s="269" t="s">
        <v>46</v>
      </c>
      <c r="P470" s="269">
        <v>0.6</v>
      </c>
      <c r="Q470" s="269">
        <f t="shared" si="19"/>
        <v>3.1</v>
      </c>
      <c r="R470" s="270"/>
      <c r="S470" s="270"/>
      <c r="T470" s="270">
        <v>260</v>
      </c>
      <c r="U470" s="271" t="s">
        <v>101</v>
      </c>
      <c r="V470" s="280"/>
    </row>
    <row r="471" spans="1:22">
      <c r="A471" s="266">
        <v>1</v>
      </c>
      <c r="B471" s="267" t="s">
        <v>68</v>
      </c>
      <c r="C471" s="268">
        <v>3</v>
      </c>
      <c r="D471" s="356">
        <v>45357</v>
      </c>
      <c r="E471" s="269" t="s">
        <v>46</v>
      </c>
      <c r="F471" s="272">
        <v>15.2</v>
      </c>
      <c r="G471" s="269">
        <v>3.3</v>
      </c>
      <c r="H471" s="269" t="s">
        <v>46</v>
      </c>
      <c r="I471" s="269" t="s">
        <v>36</v>
      </c>
      <c r="J471" s="269">
        <v>1.6</v>
      </c>
      <c r="K471" s="269" t="s">
        <v>46</v>
      </c>
      <c r="L471" s="269">
        <v>1.8</v>
      </c>
      <c r="M471" s="269" t="s">
        <v>46</v>
      </c>
      <c r="N471" s="269" t="s">
        <v>46</v>
      </c>
      <c r="O471" s="269" t="s">
        <v>46</v>
      </c>
      <c r="P471" s="269">
        <v>6.8</v>
      </c>
      <c r="Q471" s="269">
        <f t="shared" si="19"/>
        <v>28.700000000000003</v>
      </c>
      <c r="R471" s="270"/>
      <c r="S471" s="270"/>
      <c r="T471" s="270">
        <v>4370</v>
      </c>
      <c r="U471" s="271" t="s">
        <v>101</v>
      </c>
      <c r="V471" s="280"/>
    </row>
    <row r="472" spans="1:22">
      <c r="A472" s="266">
        <v>1</v>
      </c>
      <c r="B472" s="267" t="s">
        <v>68</v>
      </c>
      <c r="C472" s="268">
        <v>3</v>
      </c>
      <c r="D472" s="356">
        <v>45335</v>
      </c>
      <c r="E472" s="269" t="s">
        <v>46</v>
      </c>
      <c r="F472" s="272">
        <v>15.5</v>
      </c>
      <c r="G472" s="269">
        <v>18.3</v>
      </c>
      <c r="H472" s="269" t="s">
        <v>46</v>
      </c>
      <c r="I472" s="269" t="s">
        <v>36</v>
      </c>
      <c r="J472" s="269">
        <v>1.4</v>
      </c>
      <c r="K472" s="269" t="s">
        <v>46</v>
      </c>
      <c r="L472" s="269" t="s">
        <v>46</v>
      </c>
      <c r="M472" s="269" t="s">
        <v>46</v>
      </c>
      <c r="N472" s="269" t="s">
        <v>46</v>
      </c>
      <c r="O472" s="269" t="s">
        <v>46</v>
      </c>
      <c r="P472" s="269">
        <v>25.6</v>
      </c>
      <c r="Q472" s="269">
        <f t="shared" si="19"/>
        <v>60.8</v>
      </c>
      <c r="R472" s="270"/>
      <c r="S472" s="270"/>
      <c r="T472" s="270">
        <v>4670</v>
      </c>
      <c r="U472" s="271" t="s">
        <v>101</v>
      </c>
      <c r="V472" s="280"/>
    </row>
    <row r="473" spans="1:22">
      <c r="A473" s="266">
        <v>2</v>
      </c>
      <c r="B473" s="267" t="s">
        <v>68</v>
      </c>
      <c r="C473" s="268">
        <v>3</v>
      </c>
      <c r="D473" s="356">
        <v>44747</v>
      </c>
      <c r="E473" s="269">
        <v>2.2999999999999998</v>
      </c>
      <c r="F473" s="272">
        <v>1120</v>
      </c>
      <c r="G473" s="269">
        <v>262</v>
      </c>
      <c r="H473" s="269" t="s">
        <v>46</v>
      </c>
      <c r="I473" s="269" t="s">
        <v>36</v>
      </c>
      <c r="J473" s="269">
        <v>2.6</v>
      </c>
      <c r="K473" s="269" t="s">
        <v>46</v>
      </c>
      <c r="L473" s="269">
        <v>1.1000000000000001</v>
      </c>
      <c r="M473" s="269" t="s">
        <v>46</v>
      </c>
      <c r="N473" s="269" t="s">
        <v>46</v>
      </c>
      <c r="O473" s="269" t="s">
        <v>46</v>
      </c>
      <c r="P473" s="269">
        <v>261</v>
      </c>
      <c r="Q473" s="269">
        <f t="shared" si="19"/>
        <v>1648.9999999999998</v>
      </c>
      <c r="R473" s="270"/>
      <c r="S473" s="270"/>
      <c r="T473" s="270">
        <v>440</v>
      </c>
      <c r="U473" s="271" t="s">
        <v>101</v>
      </c>
      <c r="V473" s="280" t="s">
        <v>46</v>
      </c>
    </row>
    <row r="474" spans="1:22">
      <c r="A474" s="266">
        <v>2</v>
      </c>
      <c r="B474" s="267" t="s">
        <v>68</v>
      </c>
      <c r="C474" s="268">
        <v>3</v>
      </c>
      <c r="D474" s="356">
        <v>44613</v>
      </c>
      <c r="E474" s="269" t="s">
        <v>46</v>
      </c>
      <c r="F474" s="272">
        <v>5.8</v>
      </c>
      <c r="G474" s="269">
        <v>1</v>
      </c>
      <c r="H474" s="269" t="s">
        <v>46</v>
      </c>
      <c r="I474" s="269" t="s">
        <v>36</v>
      </c>
      <c r="J474" s="269" t="s">
        <v>48</v>
      </c>
      <c r="K474" s="269" t="s">
        <v>46</v>
      </c>
      <c r="L474" s="269" t="s">
        <v>46</v>
      </c>
      <c r="M474" s="269" t="s">
        <v>46</v>
      </c>
      <c r="N474" s="269" t="s">
        <v>46</v>
      </c>
      <c r="O474" s="269" t="s">
        <v>46</v>
      </c>
      <c r="P474" s="269">
        <v>0.7</v>
      </c>
      <c r="Q474" s="269">
        <f t="shared" si="19"/>
        <v>7.5</v>
      </c>
      <c r="R474" s="270"/>
      <c r="S474" s="270"/>
      <c r="T474" s="270" t="s">
        <v>101</v>
      </c>
      <c r="U474" s="271" t="s">
        <v>101</v>
      </c>
      <c r="V474" s="280"/>
    </row>
    <row r="475" spans="1:22">
      <c r="A475" s="266">
        <v>2</v>
      </c>
      <c r="B475" s="267" t="s">
        <v>68</v>
      </c>
      <c r="C475" s="268">
        <v>3</v>
      </c>
      <c r="D475" s="356">
        <v>44515</v>
      </c>
      <c r="E475" s="269" t="s">
        <v>46</v>
      </c>
      <c r="F475" s="272">
        <v>3.4</v>
      </c>
      <c r="G475" s="269">
        <v>5.8</v>
      </c>
      <c r="H475" s="269" t="s">
        <v>46</v>
      </c>
      <c r="I475" s="269" t="s">
        <v>36</v>
      </c>
      <c r="J475" s="269" t="s">
        <v>48</v>
      </c>
      <c r="K475" s="269" t="s">
        <v>46</v>
      </c>
      <c r="L475" s="269" t="s">
        <v>46</v>
      </c>
      <c r="M475" s="269" t="s">
        <v>46</v>
      </c>
      <c r="N475" s="269" t="s">
        <v>46</v>
      </c>
      <c r="O475" s="269" t="s">
        <v>46</v>
      </c>
      <c r="P475" s="269">
        <v>0.6</v>
      </c>
      <c r="Q475" s="269">
        <f t="shared" si="19"/>
        <v>9.7999999999999989</v>
      </c>
      <c r="R475" s="270"/>
      <c r="S475" s="270"/>
      <c r="T475" s="270" t="s">
        <v>54</v>
      </c>
      <c r="U475" s="271" t="s">
        <v>101</v>
      </c>
      <c r="V475" s="280"/>
    </row>
    <row r="476" spans="1:22">
      <c r="A476" s="266">
        <v>2</v>
      </c>
      <c r="B476" s="267" t="s">
        <v>68</v>
      </c>
      <c r="C476" s="268">
        <v>3</v>
      </c>
      <c r="D476" s="356">
        <v>44431</v>
      </c>
      <c r="E476" s="347" t="s">
        <v>46</v>
      </c>
      <c r="F476" s="272">
        <v>8.6999999999999993</v>
      </c>
      <c r="G476" s="269">
        <v>14</v>
      </c>
      <c r="H476" s="269" t="s">
        <v>46</v>
      </c>
      <c r="I476" s="269" t="s">
        <v>36</v>
      </c>
      <c r="J476" s="269">
        <v>0.5</v>
      </c>
      <c r="K476" s="269" t="s">
        <v>46</v>
      </c>
      <c r="L476" s="269">
        <v>1.4</v>
      </c>
      <c r="M476" s="269" t="s">
        <v>46</v>
      </c>
      <c r="N476" s="269" t="s">
        <v>46</v>
      </c>
      <c r="O476" s="269" t="s">
        <v>46</v>
      </c>
      <c r="P476" s="269">
        <v>2.6</v>
      </c>
      <c r="Q476" s="269">
        <f t="shared" si="19"/>
        <v>27.2</v>
      </c>
      <c r="R476" s="270"/>
      <c r="S476" s="270"/>
      <c r="T476" s="270"/>
      <c r="U476" s="271"/>
      <c r="V476" s="280"/>
    </row>
    <row r="477" spans="1:22">
      <c r="A477" s="266">
        <v>2</v>
      </c>
      <c r="B477" s="267" t="s">
        <v>68</v>
      </c>
      <c r="C477" s="268">
        <v>3</v>
      </c>
      <c r="D477" s="356">
        <v>44341</v>
      </c>
      <c r="E477" s="347" t="s">
        <v>46</v>
      </c>
      <c r="F477" s="272">
        <v>167</v>
      </c>
      <c r="G477" s="269">
        <v>27.2</v>
      </c>
      <c r="H477" s="269" t="s">
        <v>46</v>
      </c>
      <c r="I477" s="269" t="s">
        <v>36</v>
      </c>
      <c r="J477" s="269" t="s">
        <v>48</v>
      </c>
      <c r="K477" s="269" t="s">
        <v>46</v>
      </c>
      <c r="L477" s="269">
        <v>31</v>
      </c>
      <c r="M477" s="269" t="s">
        <v>46</v>
      </c>
      <c r="N477" s="269" t="s">
        <v>46</v>
      </c>
      <c r="O477" s="269">
        <v>2.7</v>
      </c>
      <c r="P477" s="269">
        <v>82.6</v>
      </c>
      <c r="Q477" s="269">
        <f t="shared" si="19"/>
        <v>310.5</v>
      </c>
      <c r="R477" s="270"/>
      <c r="S477" s="273">
        <v>502</v>
      </c>
      <c r="T477" s="273"/>
      <c r="U477" s="274"/>
      <c r="V477" s="265"/>
    </row>
    <row r="478" spans="1:22">
      <c r="A478" s="266">
        <v>2</v>
      </c>
      <c r="B478" s="267" t="s">
        <v>68</v>
      </c>
      <c r="C478" s="268">
        <v>3</v>
      </c>
      <c r="D478" s="356">
        <v>44312</v>
      </c>
      <c r="E478" s="347" t="s">
        <v>46</v>
      </c>
      <c r="F478" s="272">
        <v>262</v>
      </c>
      <c r="G478" s="269">
        <v>34.799999999999997</v>
      </c>
      <c r="H478" s="269" t="s">
        <v>46</v>
      </c>
      <c r="I478" s="269" t="s">
        <v>36</v>
      </c>
      <c r="J478" s="269" t="s">
        <v>48</v>
      </c>
      <c r="K478" s="269" t="s">
        <v>46</v>
      </c>
      <c r="L478" s="269">
        <v>5</v>
      </c>
      <c r="M478" s="269" t="s">
        <v>46</v>
      </c>
      <c r="N478" s="269" t="s">
        <v>46</v>
      </c>
      <c r="O478" s="269" t="s">
        <v>46</v>
      </c>
      <c r="P478" s="269">
        <v>196</v>
      </c>
      <c r="Q478" s="269">
        <f t="shared" si="19"/>
        <v>497.8</v>
      </c>
      <c r="R478" s="270"/>
      <c r="S478" s="270"/>
      <c r="T478" s="270"/>
      <c r="U478" s="271"/>
      <c r="V478" s="280"/>
    </row>
    <row r="479" spans="1:22" ht="15" thickBot="1">
      <c r="A479" s="308">
        <v>2</v>
      </c>
      <c r="B479" s="309" t="s">
        <v>68</v>
      </c>
      <c r="C479" s="310">
        <v>3</v>
      </c>
      <c r="D479" s="362">
        <v>44159</v>
      </c>
      <c r="E479" s="311">
        <v>3.5</v>
      </c>
      <c r="F479" s="311">
        <v>1570</v>
      </c>
      <c r="G479" s="311">
        <v>29.4</v>
      </c>
      <c r="H479" s="311" t="s">
        <v>46</v>
      </c>
      <c r="I479" s="311" t="s">
        <v>36</v>
      </c>
      <c r="J479" s="311">
        <v>1.1000000000000001</v>
      </c>
      <c r="K479" s="311" t="s">
        <v>46</v>
      </c>
      <c r="L479" s="311">
        <v>3.7</v>
      </c>
      <c r="M479" s="311">
        <v>2.4</v>
      </c>
      <c r="N479" s="311" t="s">
        <v>46</v>
      </c>
      <c r="O479" s="311" t="s">
        <v>46</v>
      </c>
      <c r="P479" s="311">
        <v>237</v>
      </c>
      <c r="Q479" s="311">
        <f t="shared" si="19"/>
        <v>1847.1000000000001</v>
      </c>
      <c r="R479" s="295"/>
      <c r="S479" s="295"/>
      <c r="T479" s="295"/>
      <c r="U479" s="296"/>
      <c r="V479" s="280"/>
    </row>
    <row r="480" spans="1:22" ht="15" thickBot="1">
      <c r="A480" s="321"/>
      <c r="C480" s="322"/>
      <c r="E480" s="265"/>
      <c r="F480" s="265"/>
      <c r="G480" s="265"/>
      <c r="H480" s="265"/>
      <c r="I480" s="265"/>
      <c r="J480" s="265"/>
      <c r="K480" s="265"/>
      <c r="L480" s="265"/>
      <c r="M480" s="265"/>
      <c r="N480" s="265"/>
      <c r="O480" s="265"/>
      <c r="P480" s="265"/>
      <c r="Q480" s="265"/>
      <c r="R480" s="280"/>
      <c r="S480" s="280"/>
      <c r="T480" s="280"/>
      <c r="U480" s="280"/>
      <c r="V480" s="280"/>
    </row>
    <row r="481" spans="1:22">
      <c r="A481" s="281">
        <v>2</v>
      </c>
      <c r="B481" s="282" t="s">
        <v>68</v>
      </c>
      <c r="C481" s="283">
        <v>4</v>
      </c>
      <c r="D481" s="358">
        <v>45792</v>
      </c>
      <c r="E481" s="284" t="s">
        <v>46</v>
      </c>
      <c r="F481" s="284">
        <v>49.1</v>
      </c>
      <c r="G481" s="284">
        <v>3.8</v>
      </c>
      <c r="H481" s="284" t="s">
        <v>46</v>
      </c>
      <c r="I481" s="284" t="s">
        <v>36</v>
      </c>
      <c r="J481" s="284">
        <v>0.7</v>
      </c>
      <c r="K481" s="284" t="s">
        <v>46</v>
      </c>
      <c r="L481" s="284" t="s">
        <v>46</v>
      </c>
      <c r="M481" s="284" t="s">
        <v>46</v>
      </c>
      <c r="N481" s="284" t="s">
        <v>46</v>
      </c>
      <c r="O481" s="284" t="s">
        <v>46</v>
      </c>
      <c r="P481" s="284">
        <v>21.5</v>
      </c>
      <c r="Q481" s="284">
        <f t="shared" ref="Q481:Q492" si="20">SUM(E481:P481)</f>
        <v>75.099999999999994</v>
      </c>
      <c r="R481" s="285" t="s">
        <v>36</v>
      </c>
      <c r="S481" s="285" t="s">
        <v>50</v>
      </c>
      <c r="T481" s="285" t="s">
        <v>101</v>
      </c>
      <c r="U481" s="286"/>
      <c r="V481" s="280" t="s">
        <v>46</v>
      </c>
    </row>
    <row r="482" spans="1:22">
      <c r="A482" s="287">
        <v>2</v>
      </c>
      <c r="B482" s="288" t="s">
        <v>68</v>
      </c>
      <c r="C482" s="289">
        <v>4</v>
      </c>
      <c r="D482" s="359">
        <v>45244</v>
      </c>
      <c r="E482" s="290">
        <v>2</v>
      </c>
      <c r="F482" s="290">
        <v>1270</v>
      </c>
      <c r="G482" s="290">
        <v>289</v>
      </c>
      <c r="H482" s="290" t="s">
        <v>46</v>
      </c>
      <c r="I482" s="290" t="s">
        <v>36</v>
      </c>
      <c r="J482" s="290">
        <v>2.2999999999999998</v>
      </c>
      <c r="K482" s="290" t="s">
        <v>46</v>
      </c>
      <c r="L482" s="290" t="s">
        <v>46</v>
      </c>
      <c r="M482" s="290" t="s">
        <v>46</v>
      </c>
      <c r="N482" s="290" t="s">
        <v>46</v>
      </c>
      <c r="O482" s="290" t="s">
        <v>46</v>
      </c>
      <c r="P482" s="290">
        <v>554</v>
      </c>
      <c r="Q482" s="290">
        <f t="shared" si="20"/>
        <v>2117.3000000000002</v>
      </c>
      <c r="R482" s="270"/>
      <c r="S482" s="270"/>
      <c r="T482" s="270">
        <v>5370</v>
      </c>
      <c r="U482" s="271" t="s">
        <v>101</v>
      </c>
      <c r="V482" s="280"/>
    </row>
    <row r="483" spans="1:22">
      <c r="A483" s="287">
        <v>2</v>
      </c>
      <c r="B483" s="288" t="s">
        <v>68</v>
      </c>
      <c r="C483" s="289">
        <v>4</v>
      </c>
      <c r="D483" s="359">
        <v>45160</v>
      </c>
      <c r="E483" s="290">
        <v>6.8</v>
      </c>
      <c r="F483" s="290">
        <v>2370</v>
      </c>
      <c r="G483" s="290">
        <v>431</v>
      </c>
      <c r="H483" s="290" t="s">
        <v>46</v>
      </c>
      <c r="I483" s="290" t="s">
        <v>36</v>
      </c>
      <c r="J483" s="290">
        <v>2.9</v>
      </c>
      <c r="K483" s="290" t="s">
        <v>46</v>
      </c>
      <c r="L483" s="290">
        <v>3.1</v>
      </c>
      <c r="M483" s="290" t="s">
        <v>46</v>
      </c>
      <c r="N483" s="290" t="s">
        <v>46</v>
      </c>
      <c r="O483" s="290" t="s">
        <v>46</v>
      </c>
      <c r="P483" s="290">
        <v>1000</v>
      </c>
      <c r="Q483" s="290">
        <f t="shared" si="20"/>
        <v>3813.8</v>
      </c>
      <c r="R483" s="270"/>
      <c r="S483" s="270"/>
      <c r="T483" s="270">
        <v>890</v>
      </c>
      <c r="U483" s="271" t="s">
        <v>101</v>
      </c>
      <c r="V483" s="280"/>
    </row>
    <row r="484" spans="1:22">
      <c r="A484" s="287">
        <v>2</v>
      </c>
      <c r="B484" s="288" t="s">
        <v>68</v>
      </c>
      <c r="C484" s="289">
        <v>4</v>
      </c>
      <c r="D484" s="359">
        <v>45062</v>
      </c>
      <c r="E484" s="290" t="s">
        <v>46</v>
      </c>
      <c r="F484" s="290">
        <v>102</v>
      </c>
      <c r="G484" s="290">
        <v>73.7</v>
      </c>
      <c r="H484" s="290">
        <v>1.6</v>
      </c>
      <c r="I484" s="290" t="s">
        <v>36</v>
      </c>
      <c r="J484" s="290">
        <v>2</v>
      </c>
      <c r="K484" s="290" t="s">
        <v>46</v>
      </c>
      <c r="L484" s="290">
        <v>8.1</v>
      </c>
      <c r="M484" s="290" t="s">
        <v>46</v>
      </c>
      <c r="N484" s="290" t="s">
        <v>46</v>
      </c>
      <c r="O484" s="290" t="s">
        <v>46</v>
      </c>
      <c r="P484" s="290">
        <v>52.4</v>
      </c>
      <c r="Q484" s="290">
        <f t="shared" si="20"/>
        <v>239.79999999999998</v>
      </c>
      <c r="R484" s="270"/>
      <c r="S484" s="270"/>
      <c r="T484" s="270"/>
      <c r="U484" s="271"/>
      <c r="V484" s="280"/>
    </row>
    <row r="485" spans="1:22">
      <c r="A485" s="287">
        <v>2</v>
      </c>
      <c r="B485" s="288" t="s">
        <v>68</v>
      </c>
      <c r="C485" s="289">
        <v>4</v>
      </c>
      <c r="D485" s="359">
        <v>44978</v>
      </c>
      <c r="E485" s="346">
        <v>24.9</v>
      </c>
      <c r="F485" s="290">
        <v>14300</v>
      </c>
      <c r="G485" s="290">
        <v>1160</v>
      </c>
      <c r="H485" s="290" t="s">
        <v>46</v>
      </c>
      <c r="I485" s="290" t="s">
        <v>36</v>
      </c>
      <c r="J485" s="290">
        <v>3.7</v>
      </c>
      <c r="K485" s="290" t="s">
        <v>46</v>
      </c>
      <c r="L485" s="290">
        <v>1.6</v>
      </c>
      <c r="M485" s="290" t="s">
        <v>46</v>
      </c>
      <c r="N485" s="290" t="s">
        <v>46</v>
      </c>
      <c r="O485" s="290" t="s">
        <v>46</v>
      </c>
      <c r="P485" s="290">
        <v>4020</v>
      </c>
      <c r="Q485" s="290">
        <f t="shared" si="20"/>
        <v>19510.2</v>
      </c>
      <c r="R485" s="270"/>
      <c r="S485" s="270"/>
      <c r="T485" s="270">
        <v>990</v>
      </c>
      <c r="U485" s="271" t="s">
        <v>101</v>
      </c>
      <c r="V485" s="280"/>
    </row>
    <row r="486" spans="1:22">
      <c r="A486" s="287">
        <v>2</v>
      </c>
      <c r="B486" s="288" t="s">
        <v>68</v>
      </c>
      <c r="C486" s="289">
        <v>4</v>
      </c>
      <c r="D486" s="359">
        <v>44880</v>
      </c>
      <c r="E486" s="346">
        <v>20.399999999999999</v>
      </c>
      <c r="F486" s="290">
        <v>12200</v>
      </c>
      <c r="G486" s="290">
        <v>1120</v>
      </c>
      <c r="H486" s="290" t="s">
        <v>46</v>
      </c>
      <c r="I486" s="290" t="s">
        <v>36</v>
      </c>
      <c r="J486" s="290">
        <v>3.5</v>
      </c>
      <c r="K486" s="290" t="s">
        <v>46</v>
      </c>
      <c r="L486" s="290">
        <v>4.5</v>
      </c>
      <c r="M486" s="290" t="s">
        <v>46</v>
      </c>
      <c r="N486" s="290" t="s">
        <v>46</v>
      </c>
      <c r="O486" s="290" t="s">
        <v>46</v>
      </c>
      <c r="P486" s="290">
        <v>3480</v>
      </c>
      <c r="Q486" s="290">
        <f t="shared" si="20"/>
        <v>16828.400000000001</v>
      </c>
      <c r="R486" s="270"/>
      <c r="S486" s="270"/>
      <c r="T486" s="270">
        <v>780</v>
      </c>
      <c r="U486" s="271" t="s">
        <v>101</v>
      </c>
      <c r="V486" s="280"/>
    </row>
    <row r="487" spans="1:22">
      <c r="A487" s="287">
        <v>2</v>
      </c>
      <c r="B487" s="288" t="s">
        <v>68</v>
      </c>
      <c r="C487" s="289">
        <v>4</v>
      </c>
      <c r="D487" s="359">
        <v>44704</v>
      </c>
      <c r="E487" s="346">
        <v>3.8</v>
      </c>
      <c r="F487" s="290">
        <v>2370</v>
      </c>
      <c r="G487" s="290">
        <v>173</v>
      </c>
      <c r="H487" s="290" t="s">
        <v>46</v>
      </c>
      <c r="I487" s="290" t="s">
        <v>36</v>
      </c>
      <c r="J487" s="290">
        <v>2.5</v>
      </c>
      <c r="K487" s="290" t="s">
        <v>46</v>
      </c>
      <c r="L487" s="290">
        <v>2.2999999999999998</v>
      </c>
      <c r="M487" s="290" t="s">
        <v>46</v>
      </c>
      <c r="N487" s="290" t="s">
        <v>46</v>
      </c>
      <c r="O487" s="290" t="s">
        <v>46</v>
      </c>
      <c r="P487" s="290">
        <v>290</v>
      </c>
      <c r="Q487" s="290">
        <f t="shared" si="20"/>
        <v>2841.6000000000004</v>
      </c>
      <c r="R487" s="270" t="s">
        <v>36</v>
      </c>
      <c r="S487" s="270" t="s">
        <v>50</v>
      </c>
      <c r="T487" s="270">
        <v>260</v>
      </c>
      <c r="U487" s="271" t="s">
        <v>101</v>
      </c>
      <c r="V487" s="280"/>
    </row>
    <row r="488" spans="1:22">
      <c r="A488" s="287">
        <v>2</v>
      </c>
      <c r="B488" s="288" t="s">
        <v>68</v>
      </c>
      <c r="C488" s="289">
        <v>4</v>
      </c>
      <c r="D488" s="359">
        <v>44249</v>
      </c>
      <c r="E488" s="346" t="s">
        <v>46</v>
      </c>
      <c r="F488" s="290">
        <v>177</v>
      </c>
      <c r="G488" s="290">
        <v>23.1</v>
      </c>
      <c r="H488" s="290" t="s">
        <v>46</v>
      </c>
      <c r="I488" s="290" t="s">
        <v>36</v>
      </c>
      <c r="J488" s="290">
        <v>0.5</v>
      </c>
      <c r="K488" s="290" t="s">
        <v>46</v>
      </c>
      <c r="L488" s="290">
        <v>3.2</v>
      </c>
      <c r="M488" s="290" t="s">
        <v>46</v>
      </c>
      <c r="N488" s="290" t="s">
        <v>46</v>
      </c>
      <c r="O488" s="290" t="s">
        <v>46</v>
      </c>
      <c r="P488" s="290">
        <v>54.3</v>
      </c>
      <c r="Q488" s="290">
        <f t="shared" si="20"/>
        <v>258.09999999999997</v>
      </c>
      <c r="R488" s="270"/>
      <c r="S488" s="270"/>
      <c r="T488" s="270"/>
      <c r="U488" s="271"/>
      <c r="V488" s="280"/>
    </row>
    <row r="489" spans="1:22">
      <c r="A489" s="287">
        <v>2</v>
      </c>
      <c r="B489" s="288" t="s">
        <v>68</v>
      </c>
      <c r="C489" s="289">
        <v>4</v>
      </c>
      <c r="D489" s="359">
        <v>44217</v>
      </c>
      <c r="E489" s="290">
        <v>1</v>
      </c>
      <c r="F489" s="290">
        <v>219</v>
      </c>
      <c r="G489" s="290">
        <v>43.6</v>
      </c>
      <c r="H489" s="290" t="s">
        <v>46</v>
      </c>
      <c r="I489" s="290" t="s">
        <v>36</v>
      </c>
      <c r="J489" s="290">
        <v>0.8</v>
      </c>
      <c r="K489" s="290" t="s">
        <v>46</v>
      </c>
      <c r="L489" s="290">
        <v>4.5</v>
      </c>
      <c r="M489" s="290" t="s">
        <v>46</v>
      </c>
      <c r="N489" s="290" t="s">
        <v>46</v>
      </c>
      <c r="O489" s="290" t="s">
        <v>46</v>
      </c>
      <c r="P489" s="290">
        <v>23.3</v>
      </c>
      <c r="Q489" s="290">
        <f t="shared" si="20"/>
        <v>292.20000000000005</v>
      </c>
      <c r="R489" s="270"/>
      <c r="S489" s="270"/>
      <c r="T489" s="270"/>
      <c r="U489" s="271"/>
      <c r="V489" s="280"/>
    </row>
    <row r="490" spans="1:22">
      <c r="A490" s="287">
        <v>2</v>
      </c>
      <c r="B490" s="288" t="s">
        <v>68</v>
      </c>
      <c r="C490" s="289">
        <v>4</v>
      </c>
      <c r="D490" s="359">
        <v>44186</v>
      </c>
      <c r="E490" s="346"/>
      <c r="F490" s="290">
        <v>216</v>
      </c>
      <c r="G490" s="290">
        <v>29.9</v>
      </c>
      <c r="H490" s="290"/>
      <c r="I490" s="290" t="s">
        <v>36</v>
      </c>
      <c r="J490" s="290">
        <v>0.6</v>
      </c>
      <c r="K490" s="290"/>
      <c r="L490" s="290">
        <v>10.3</v>
      </c>
      <c r="M490" s="290"/>
      <c r="N490" s="290"/>
      <c r="O490" s="290"/>
      <c r="P490" s="290">
        <v>11.6</v>
      </c>
      <c r="Q490" s="290">
        <f t="shared" si="20"/>
        <v>268.40000000000003</v>
      </c>
      <c r="R490" s="270"/>
      <c r="S490" s="270"/>
      <c r="T490" s="270"/>
      <c r="U490" s="271"/>
      <c r="V490" s="280"/>
    </row>
    <row r="491" spans="1:22">
      <c r="A491" s="287">
        <v>2</v>
      </c>
      <c r="B491" s="288" t="s">
        <v>68</v>
      </c>
      <c r="C491" s="289">
        <v>4</v>
      </c>
      <c r="D491" s="359">
        <v>44174</v>
      </c>
      <c r="E491" s="346" t="s">
        <v>46</v>
      </c>
      <c r="F491" s="290">
        <v>253</v>
      </c>
      <c r="G491" s="290">
        <v>31.7</v>
      </c>
      <c r="H491" s="290" t="s">
        <v>46</v>
      </c>
      <c r="I491" s="290" t="s">
        <v>36</v>
      </c>
      <c r="J491" s="290" t="s">
        <v>48</v>
      </c>
      <c r="K491" s="290" t="s">
        <v>46</v>
      </c>
      <c r="L491" s="290">
        <v>13.3</v>
      </c>
      <c r="M491" s="290" t="s">
        <v>46</v>
      </c>
      <c r="N491" s="290" t="s">
        <v>46</v>
      </c>
      <c r="O491" s="290" t="s">
        <v>46</v>
      </c>
      <c r="P491" s="290">
        <v>15</v>
      </c>
      <c r="Q491" s="290">
        <f t="shared" si="20"/>
        <v>313</v>
      </c>
      <c r="R491" s="270"/>
      <c r="S491" s="270"/>
      <c r="T491" s="270"/>
      <c r="U491" s="271"/>
      <c r="V491" s="280"/>
    </row>
    <row r="492" spans="1:22" ht="15" thickBot="1">
      <c r="A492" s="297">
        <v>2</v>
      </c>
      <c r="B492" s="298" t="s">
        <v>68</v>
      </c>
      <c r="C492" s="299">
        <v>4</v>
      </c>
      <c r="D492" s="360">
        <v>44160</v>
      </c>
      <c r="E492" s="300">
        <v>1.1000000000000001</v>
      </c>
      <c r="F492" s="300">
        <v>375</v>
      </c>
      <c r="G492" s="300">
        <v>17.8</v>
      </c>
      <c r="H492" s="300">
        <v>1</v>
      </c>
      <c r="I492" s="300" t="s">
        <v>36</v>
      </c>
      <c r="J492" s="300">
        <v>0.7</v>
      </c>
      <c r="K492" s="300" t="s">
        <v>46</v>
      </c>
      <c r="L492" s="300">
        <v>1.9</v>
      </c>
      <c r="M492" s="300" t="s">
        <v>46</v>
      </c>
      <c r="N492" s="300" t="s">
        <v>46</v>
      </c>
      <c r="O492" s="300" t="s">
        <v>46</v>
      </c>
      <c r="P492" s="300">
        <v>71.7</v>
      </c>
      <c r="Q492" s="300">
        <f t="shared" si="20"/>
        <v>469.2</v>
      </c>
      <c r="R492" s="295"/>
      <c r="S492" s="295"/>
      <c r="T492" s="295"/>
      <c r="U492" s="296"/>
      <c r="V492" s="280"/>
    </row>
    <row r="493" spans="1:22" ht="15" thickBot="1">
      <c r="A493" s="321"/>
      <c r="C493" s="322"/>
      <c r="E493" s="265"/>
      <c r="F493" s="265"/>
      <c r="G493" s="265"/>
      <c r="H493" s="265"/>
      <c r="I493" s="265"/>
      <c r="J493" s="265"/>
      <c r="K493" s="265"/>
      <c r="L493" s="265"/>
      <c r="M493" s="265"/>
      <c r="N493" s="265"/>
      <c r="O493" s="265"/>
      <c r="P493" s="265"/>
      <c r="Q493" s="265"/>
      <c r="R493" s="280"/>
      <c r="S493" s="280"/>
      <c r="T493" s="280"/>
      <c r="U493" s="280"/>
      <c r="V493" s="280"/>
    </row>
    <row r="494" spans="1:22">
      <c r="A494" s="326">
        <v>3</v>
      </c>
      <c r="B494" s="327" t="s">
        <v>68</v>
      </c>
      <c r="C494" s="328">
        <v>5</v>
      </c>
      <c r="D494" s="364">
        <v>45980</v>
      </c>
      <c r="E494" s="329" t="s">
        <v>46</v>
      </c>
      <c r="F494" s="329">
        <v>4.7</v>
      </c>
      <c r="G494" s="329">
        <v>2.4</v>
      </c>
      <c r="H494" s="329" t="s">
        <v>46</v>
      </c>
      <c r="I494" s="329" t="s">
        <v>36</v>
      </c>
      <c r="J494" s="329">
        <v>2.6</v>
      </c>
      <c r="K494" s="329" t="s">
        <v>46</v>
      </c>
      <c r="L494" s="329" t="s">
        <v>46</v>
      </c>
      <c r="M494" s="329" t="s">
        <v>46</v>
      </c>
      <c r="N494" s="329">
        <v>1.6</v>
      </c>
      <c r="O494" s="329" t="s">
        <v>46</v>
      </c>
      <c r="P494" s="329">
        <v>1.8</v>
      </c>
      <c r="Q494" s="329">
        <f t="shared" ref="Q494:Q504" si="21">SUM(E494:P494)</f>
        <v>13.1</v>
      </c>
      <c r="R494" s="285" t="s">
        <v>36</v>
      </c>
      <c r="S494" s="285" t="s">
        <v>50</v>
      </c>
      <c r="T494" s="285">
        <v>50</v>
      </c>
      <c r="U494" s="286"/>
      <c r="V494" s="280"/>
    </row>
    <row r="495" spans="1:22">
      <c r="A495" s="330">
        <v>3</v>
      </c>
      <c r="B495" s="331" t="s">
        <v>68</v>
      </c>
      <c r="C495" s="332">
        <v>5</v>
      </c>
      <c r="D495" s="365">
        <v>45840</v>
      </c>
      <c r="E495" s="317">
        <v>48.8</v>
      </c>
      <c r="F495" s="317">
        <v>13400</v>
      </c>
      <c r="G495" s="317">
        <v>531</v>
      </c>
      <c r="H495" s="317" t="s">
        <v>46</v>
      </c>
      <c r="I495" s="317">
        <v>1.1000000000000001</v>
      </c>
      <c r="J495" s="317">
        <v>4.8</v>
      </c>
      <c r="K495" s="317" t="s">
        <v>46</v>
      </c>
      <c r="L495" s="317">
        <v>12.9</v>
      </c>
      <c r="M495" s="317" t="s">
        <v>46</v>
      </c>
      <c r="N495" s="317" t="s">
        <v>46</v>
      </c>
      <c r="O495" s="317">
        <v>4.2</v>
      </c>
      <c r="P495" s="317">
        <v>4980</v>
      </c>
      <c r="Q495" s="317">
        <f t="shared" si="21"/>
        <v>18982.8</v>
      </c>
      <c r="R495" s="270"/>
      <c r="S495" s="270"/>
      <c r="T495" s="270"/>
      <c r="U495" s="271"/>
      <c r="V495" s="280"/>
    </row>
    <row r="496" spans="1:22">
      <c r="A496" s="330">
        <v>3</v>
      </c>
      <c r="B496" s="331" t="s">
        <v>68</v>
      </c>
      <c r="C496" s="332">
        <v>5</v>
      </c>
      <c r="D496" s="365">
        <v>45782</v>
      </c>
      <c r="E496" s="317">
        <v>17.600000000000001</v>
      </c>
      <c r="F496" s="317">
        <v>12300</v>
      </c>
      <c r="G496" s="317">
        <v>403</v>
      </c>
      <c r="H496" s="317" t="s">
        <v>46</v>
      </c>
      <c r="I496" s="317">
        <v>0.5</v>
      </c>
      <c r="J496" s="317">
        <v>3.9</v>
      </c>
      <c r="K496" s="317" t="s">
        <v>46</v>
      </c>
      <c r="L496" s="317" t="s">
        <v>33</v>
      </c>
      <c r="M496" s="317" t="s">
        <v>46</v>
      </c>
      <c r="N496" s="317" t="s">
        <v>46</v>
      </c>
      <c r="O496" s="317" t="s">
        <v>46</v>
      </c>
      <c r="P496" s="317">
        <v>4090</v>
      </c>
      <c r="Q496" s="317">
        <f t="shared" si="21"/>
        <v>16815</v>
      </c>
      <c r="R496" s="270" t="s">
        <v>36</v>
      </c>
      <c r="S496" s="270" t="s">
        <v>50</v>
      </c>
      <c r="T496" s="270">
        <v>4680</v>
      </c>
      <c r="U496" s="271"/>
      <c r="V496" s="280" t="s">
        <v>46</v>
      </c>
    </row>
    <row r="497" spans="1:22">
      <c r="A497" s="330">
        <v>3</v>
      </c>
      <c r="B497" s="331" t="s">
        <v>68</v>
      </c>
      <c r="C497" s="332">
        <v>5</v>
      </c>
      <c r="D497" s="365">
        <v>45755</v>
      </c>
      <c r="E497" s="317">
        <v>13.7</v>
      </c>
      <c r="F497" s="317">
        <v>6950</v>
      </c>
      <c r="G497" s="317">
        <v>288</v>
      </c>
      <c r="H497" s="317" t="s">
        <v>46</v>
      </c>
      <c r="I497" s="317" t="s">
        <v>36</v>
      </c>
      <c r="J497" s="317">
        <v>3.5</v>
      </c>
      <c r="K497" s="317" t="s">
        <v>46</v>
      </c>
      <c r="L497" s="317">
        <v>1.6</v>
      </c>
      <c r="M497" s="317" t="s">
        <v>46</v>
      </c>
      <c r="N497" s="317" t="s">
        <v>46</v>
      </c>
      <c r="O497" s="317" t="s">
        <v>46</v>
      </c>
      <c r="P497" s="317">
        <v>3010</v>
      </c>
      <c r="Q497" s="317">
        <f t="shared" si="21"/>
        <v>10266.799999999999</v>
      </c>
      <c r="R497" s="270"/>
      <c r="S497" s="270"/>
      <c r="T497" s="270"/>
      <c r="U497" s="271"/>
      <c r="V497" s="280"/>
    </row>
    <row r="498" spans="1:22">
      <c r="A498" s="330">
        <v>3</v>
      </c>
      <c r="B498" s="331" t="s">
        <v>68</v>
      </c>
      <c r="C498" s="332">
        <v>5</v>
      </c>
      <c r="D498" s="365">
        <v>45727</v>
      </c>
      <c r="E498" s="317">
        <v>10.4</v>
      </c>
      <c r="F498" s="317">
        <v>5790</v>
      </c>
      <c r="G498" s="317">
        <v>255</v>
      </c>
      <c r="H498" s="317" t="s">
        <v>46</v>
      </c>
      <c r="I498" s="317" t="s">
        <v>36</v>
      </c>
      <c r="J498" s="317">
        <v>3.5</v>
      </c>
      <c r="K498" s="317" t="s">
        <v>46</v>
      </c>
      <c r="L498" s="317">
        <v>1.6</v>
      </c>
      <c r="M498" s="317" t="s">
        <v>46</v>
      </c>
      <c r="N498" s="317" t="s">
        <v>46</v>
      </c>
      <c r="O498" s="317" t="s">
        <v>46</v>
      </c>
      <c r="P498" s="317">
        <v>1840</v>
      </c>
      <c r="Q498" s="317">
        <f t="shared" si="21"/>
        <v>7900.5</v>
      </c>
      <c r="R498" s="270"/>
      <c r="S498" s="270"/>
      <c r="T498" s="270"/>
      <c r="U498" s="271"/>
      <c r="V498" s="280"/>
    </row>
    <row r="499" spans="1:22">
      <c r="A499" s="330">
        <v>3</v>
      </c>
      <c r="B499" s="331" t="s">
        <v>68</v>
      </c>
      <c r="C499" s="332">
        <v>5</v>
      </c>
      <c r="D499" s="365">
        <v>45706</v>
      </c>
      <c r="E499" s="317">
        <v>9.1</v>
      </c>
      <c r="F499" s="317">
        <v>3970</v>
      </c>
      <c r="G499" s="317">
        <v>207</v>
      </c>
      <c r="H499" s="317">
        <v>1.5</v>
      </c>
      <c r="I499" s="317" t="s">
        <v>36</v>
      </c>
      <c r="J499" s="317">
        <v>3.3</v>
      </c>
      <c r="K499" s="317" t="s">
        <v>46</v>
      </c>
      <c r="L499" s="317">
        <v>3.8</v>
      </c>
      <c r="M499" s="317" t="s">
        <v>46</v>
      </c>
      <c r="N499" s="317" t="s">
        <v>46</v>
      </c>
      <c r="O499" s="317" t="s">
        <v>46</v>
      </c>
      <c r="P499" s="317">
        <v>1840</v>
      </c>
      <c r="Q499" s="317">
        <f t="shared" si="21"/>
        <v>6034.7000000000007</v>
      </c>
      <c r="R499" s="352"/>
      <c r="S499" s="352"/>
      <c r="T499" s="352">
        <v>5000</v>
      </c>
      <c r="U499" s="353"/>
      <c r="V499" s="280"/>
    </row>
    <row r="500" spans="1:22">
      <c r="A500" s="330">
        <v>3</v>
      </c>
      <c r="B500" s="331" t="s">
        <v>68</v>
      </c>
      <c r="C500" s="332">
        <v>5</v>
      </c>
      <c r="D500" s="365">
        <v>45670</v>
      </c>
      <c r="E500" s="317">
        <v>3.3</v>
      </c>
      <c r="F500" s="317">
        <v>1830</v>
      </c>
      <c r="G500" s="317">
        <v>103</v>
      </c>
      <c r="H500" s="317" t="s">
        <v>46</v>
      </c>
      <c r="I500" s="317" t="s">
        <v>36</v>
      </c>
      <c r="J500" s="317">
        <v>3</v>
      </c>
      <c r="K500" s="317" t="s">
        <v>46</v>
      </c>
      <c r="L500" s="317">
        <v>1.9</v>
      </c>
      <c r="M500" s="317" t="s">
        <v>46</v>
      </c>
      <c r="N500" s="317" t="s">
        <v>46</v>
      </c>
      <c r="O500" s="317" t="s">
        <v>46</v>
      </c>
      <c r="P500" s="317">
        <v>1850</v>
      </c>
      <c r="Q500" s="317">
        <f t="shared" si="21"/>
        <v>3791.2</v>
      </c>
      <c r="R500" s="352"/>
      <c r="S500" s="352"/>
      <c r="T500" s="352"/>
      <c r="U500" s="353"/>
      <c r="V500" s="280"/>
    </row>
    <row r="501" spans="1:22">
      <c r="A501" s="330">
        <v>3</v>
      </c>
      <c r="B501" s="331" t="s">
        <v>68</v>
      </c>
      <c r="C501" s="332">
        <v>5</v>
      </c>
      <c r="D501" s="365">
        <v>45567</v>
      </c>
      <c r="E501" s="317" t="s">
        <v>46</v>
      </c>
      <c r="F501" s="317">
        <v>50.3</v>
      </c>
      <c r="G501" s="317">
        <v>20.9</v>
      </c>
      <c r="H501" s="317" t="s">
        <v>46</v>
      </c>
      <c r="I501" s="317" t="s">
        <v>36</v>
      </c>
      <c r="J501" s="317">
        <v>2.1</v>
      </c>
      <c r="K501" s="317" t="s">
        <v>46</v>
      </c>
      <c r="L501" s="317" t="s">
        <v>46</v>
      </c>
      <c r="M501" s="317" t="s">
        <v>46</v>
      </c>
      <c r="N501" s="317" t="s">
        <v>46</v>
      </c>
      <c r="O501" s="317" t="s">
        <v>46</v>
      </c>
      <c r="P501" s="317">
        <v>95.5</v>
      </c>
      <c r="Q501" s="317">
        <f t="shared" si="21"/>
        <v>168.79999999999998</v>
      </c>
      <c r="R501" s="352"/>
      <c r="S501" s="352"/>
      <c r="T501" s="352">
        <v>7360</v>
      </c>
      <c r="U501" s="353" t="s">
        <v>101</v>
      </c>
      <c r="V501" s="280"/>
    </row>
    <row r="502" spans="1:22">
      <c r="A502" s="330">
        <v>3</v>
      </c>
      <c r="B502" s="331" t="s">
        <v>68</v>
      </c>
      <c r="C502" s="332">
        <v>5</v>
      </c>
      <c r="D502" s="365">
        <v>45426</v>
      </c>
      <c r="E502" s="317" t="s">
        <v>46</v>
      </c>
      <c r="F502" s="317">
        <v>5.2</v>
      </c>
      <c r="G502" s="317">
        <v>70.5</v>
      </c>
      <c r="H502" s="317" t="s">
        <v>46</v>
      </c>
      <c r="I502" s="317" t="s">
        <v>36</v>
      </c>
      <c r="J502" s="317">
        <v>2.2999999999999998</v>
      </c>
      <c r="K502" s="317" t="s">
        <v>46</v>
      </c>
      <c r="L502" s="317" t="s">
        <v>46</v>
      </c>
      <c r="M502" s="317" t="s">
        <v>46</v>
      </c>
      <c r="N502" s="317" t="s">
        <v>46</v>
      </c>
      <c r="O502" s="317" t="s">
        <v>46</v>
      </c>
      <c r="P502" s="317">
        <v>6.4</v>
      </c>
      <c r="Q502" s="317">
        <f t="shared" si="21"/>
        <v>84.4</v>
      </c>
      <c r="R502" s="352"/>
      <c r="S502" s="352"/>
      <c r="T502" s="352">
        <v>7740</v>
      </c>
      <c r="U502" s="353" t="s">
        <v>101</v>
      </c>
      <c r="V502" s="280"/>
    </row>
    <row r="503" spans="1:22">
      <c r="A503" s="330">
        <v>3</v>
      </c>
      <c r="B503" s="331" t="s">
        <v>68</v>
      </c>
      <c r="C503" s="332">
        <v>5</v>
      </c>
      <c r="D503" s="365">
        <v>45357</v>
      </c>
      <c r="E503" s="317" t="s">
        <v>46</v>
      </c>
      <c r="F503" s="317">
        <v>85.9</v>
      </c>
      <c r="G503" s="317">
        <v>129</v>
      </c>
      <c r="H503" s="317" t="s">
        <v>46</v>
      </c>
      <c r="I503" s="317" t="s">
        <v>36</v>
      </c>
      <c r="J503" s="317">
        <v>1.6</v>
      </c>
      <c r="K503" s="317" t="s">
        <v>46</v>
      </c>
      <c r="L503" s="317">
        <v>2.8</v>
      </c>
      <c r="M503" s="317" t="s">
        <v>46</v>
      </c>
      <c r="N503" s="317" t="s">
        <v>46</v>
      </c>
      <c r="O503" s="317" t="s">
        <v>46</v>
      </c>
      <c r="P503" s="317">
        <v>720</v>
      </c>
      <c r="Q503" s="317">
        <f t="shared" si="21"/>
        <v>939.3</v>
      </c>
      <c r="R503" s="352"/>
      <c r="S503" s="352"/>
      <c r="T503" s="352">
        <v>7100</v>
      </c>
      <c r="U503" s="353" t="s">
        <v>101</v>
      </c>
      <c r="V503" s="280"/>
    </row>
    <row r="504" spans="1:22">
      <c r="A504" s="330">
        <v>3</v>
      </c>
      <c r="B504" s="331" t="s">
        <v>68</v>
      </c>
      <c r="C504" s="332">
        <v>5</v>
      </c>
      <c r="D504" s="365">
        <v>45335</v>
      </c>
      <c r="E504" s="317" t="s">
        <v>46</v>
      </c>
      <c r="F504" s="317">
        <v>45.7</v>
      </c>
      <c r="G504" s="317">
        <v>645</v>
      </c>
      <c r="H504" s="317" t="s">
        <v>46</v>
      </c>
      <c r="I504" s="317" t="s">
        <v>36</v>
      </c>
      <c r="J504" s="317">
        <v>2.4</v>
      </c>
      <c r="K504" s="317" t="s">
        <v>46</v>
      </c>
      <c r="L504" s="317" t="s">
        <v>46</v>
      </c>
      <c r="M504" s="317" t="s">
        <v>46</v>
      </c>
      <c r="N504" s="317" t="s">
        <v>46</v>
      </c>
      <c r="O504" s="317" t="s">
        <v>46</v>
      </c>
      <c r="P504" s="317">
        <v>440</v>
      </c>
      <c r="Q504" s="317">
        <f t="shared" si="21"/>
        <v>1133.0999999999999</v>
      </c>
      <c r="R504" s="352"/>
      <c r="S504" s="352"/>
      <c r="T504" s="352">
        <v>14600</v>
      </c>
      <c r="U504" s="353" t="s">
        <v>101</v>
      </c>
      <c r="V504" s="280"/>
    </row>
    <row r="505" spans="1:22" ht="15" thickBot="1">
      <c r="A505" s="308">
        <v>3</v>
      </c>
      <c r="B505" s="309" t="s">
        <v>68</v>
      </c>
      <c r="C505" s="310">
        <v>5</v>
      </c>
      <c r="D505" s="362">
        <v>44285</v>
      </c>
      <c r="E505" s="311">
        <v>148</v>
      </c>
      <c r="F505" s="311">
        <v>68900</v>
      </c>
      <c r="G505" s="311">
        <v>3060</v>
      </c>
      <c r="H505" s="311" t="s">
        <v>46</v>
      </c>
      <c r="I505" s="311">
        <v>2.4</v>
      </c>
      <c r="J505" s="311">
        <v>16.8</v>
      </c>
      <c r="K505" s="311" t="s">
        <v>46</v>
      </c>
      <c r="L505" s="311">
        <v>10200</v>
      </c>
      <c r="M505" s="311">
        <v>88.5</v>
      </c>
      <c r="N505" s="311">
        <v>18.399999999999999</v>
      </c>
      <c r="O505" s="311">
        <v>1080</v>
      </c>
      <c r="P505" s="311">
        <v>1920</v>
      </c>
      <c r="Q505" s="311">
        <f>SUM(E505:P505)</f>
        <v>85434.099999999991</v>
      </c>
      <c r="R505" s="312" t="s">
        <v>36</v>
      </c>
      <c r="S505" s="312" t="s">
        <v>50</v>
      </c>
      <c r="T505" s="312"/>
      <c r="U505" s="351"/>
      <c r="V505" s="3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GCW1</vt:lpstr>
      <vt:lpstr>GCW2</vt:lpstr>
      <vt:lpstr>GCW3</vt:lpstr>
      <vt:lpstr>GCW4</vt:lpstr>
      <vt:lpstr>GCW5</vt:lpstr>
      <vt:lpstr>DRW3&amp;4</vt:lpstr>
      <vt:lpstr>Contaminants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Sanjana Raj Basavaraj</dc:creator>
  <cp:lastModifiedBy>Sanjana Raj Basavaraj</cp:lastModifiedBy>
  <dcterms:created xsi:type="dcterms:W3CDTF">2026-04-07T08:20:33Z</dcterms:created>
  <dcterms:modified xsi:type="dcterms:W3CDTF">2026-06-09T12:31:30Z</dcterms:modified>
</cp:coreProperties>
</file>